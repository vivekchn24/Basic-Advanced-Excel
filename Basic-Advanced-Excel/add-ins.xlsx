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webextensions/webextension1.xml" ContentType="application/vnd.ms-office.webextension+xml"/>
  <Override PartName="/xl/drawings/drawing2.xml" ContentType="application/vnd.openxmlformats-officedocument.drawing+xml"/>
  <Override PartName="/xl/webextensions/webextension2.xml" ContentType="application/vnd.ms-office.webextension+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webextensions/webextension3.xml" ContentType="application/vnd.ms-office.webextension+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4.xml" ContentType="application/vnd.ms-office.webextension+xml"/>
  <Override PartName="/xl/webextensions/webextension5.xml" ContentType="application/vnd.ms-office.webextension+xml"/>
  <Override PartName="/xl/webextensions/webextension6.xml" ContentType="application/vnd.ms-office.webextension+xml"/>
  <Override PartName="/xl/webextensions/webextension7.xml" ContentType="application/vnd.ms-office.webextension+xml"/>
  <Override PartName="/xl/webextensions/webextension8.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E:\vivek-data-analysis\"/>
    </mc:Choice>
  </mc:AlternateContent>
  <xr:revisionPtr revIDLastSave="0" documentId="13_ncr:1_{42506371-FE42-4B73-B969-465146712E4E}" xr6:coauthVersionLast="47" xr6:coauthVersionMax="47" xr10:uidLastSave="{00000000-0000-0000-0000-000000000000}"/>
  <bookViews>
    <workbookView xWindow="-120" yWindow="-120" windowWidth="29040" windowHeight="15840" firstSheet="4" activeTab="15" xr2:uid="{E078755F-23CF-47C6-9F19-8620E37A8C18}"/>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3" sheetId="13" r:id="rId12"/>
    <sheet name="forecast sheet" sheetId="12" r:id="rId13"/>
    <sheet name="Sheet15" sheetId="15" r:id="rId14"/>
    <sheet name="Sheet14" sheetId="14" r:id="rId15"/>
    <sheet name="Sheet16" sheetId="16" r:id="rId16"/>
  </sheets>
  <externalReferences>
    <externalReference r:id="rId17"/>
  </externalReferences>
  <definedNames>
    <definedName name="_xlnm._FilterDatabase" localSheetId="12" hidden="1">'forecast sheet'!$P$1:$R$100</definedName>
    <definedName name="_xlchart.v5.0" hidden="1">Sheet4!$A$1</definedName>
    <definedName name="_xlchart.v5.1" hidden="1">Sheet4!$A$2:$A$100</definedName>
    <definedName name="_xlchart.v5.2" hidden="1">Sheet4!$B$1</definedName>
    <definedName name="_xlchart.v5.3" hidden="1">Sheet4!$B$2:$B$100</definedName>
  </definedNames>
  <calcPr calcId="191029"/>
  <pivotCaches>
    <pivotCache cacheId="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4" i="12" l="1"/>
  <c r="A100" i="12"/>
  <c r="A99" i="12"/>
  <c r="A98" i="12"/>
  <c r="A51" i="12"/>
  <c r="A50" i="12"/>
  <c r="A49" i="12"/>
  <c r="A83" i="12"/>
  <c r="A82" i="12"/>
  <c r="A81" i="12"/>
  <c r="A80" i="12"/>
  <c r="A97" i="12"/>
  <c r="A96" i="12"/>
  <c r="A95" i="12"/>
  <c r="A94" i="12"/>
  <c r="A48" i="12"/>
  <c r="A19" i="12"/>
  <c r="A18" i="12"/>
  <c r="A79" i="12"/>
  <c r="A78" i="12"/>
  <c r="A17" i="12"/>
  <c r="A93" i="12"/>
  <c r="A92" i="12"/>
  <c r="A91" i="12"/>
  <c r="A47" i="12"/>
  <c r="A46" i="12"/>
  <c r="A45" i="12"/>
  <c r="A90" i="12"/>
  <c r="A77" i="12"/>
  <c r="A76" i="12"/>
  <c r="A16" i="12"/>
  <c r="A15" i="12"/>
  <c r="A44" i="12"/>
  <c r="A43" i="12"/>
  <c r="A42" i="12"/>
  <c r="A41" i="12"/>
  <c r="A40" i="12"/>
  <c r="A75" i="12"/>
  <c r="A74" i="12"/>
  <c r="A73" i="12"/>
  <c r="A72" i="12"/>
  <c r="A71" i="12"/>
  <c r="A70" i="12"/>
  <c r="A69" i="12"/>
  <c r="A68" i="12"/>
  <c r="A67" i="12"/>
  <c r="A39" i="12"/>
  <c r="A38" i="12"/>
  <c r="A37" i="12"/>
  <c r="A36" i="12"/>
  <c r="A66" i="12"/>
  <c r="A65" i="12"/>
  <c r="A14" i="12"/>
  <c r="A64" i="12"/>
  <c r="A63" i="12"/>
  <c r="A89" i="12"/>
  <c r="A62" i="12"/>
  <c r="A88" i="12"/>
  <c r="A35" i="12"/>
  <c r="A34" i="12"/>
  <c r="A33" i="12"/>
  <c r="A32" i="12"/>
  <c r="A61" i="12"/>
  <c r="A60" i="12"/>
  <c r="A87" i="12"/>
  <c r="A31" i="12"/>
  <c r="A30" i="12"/>
  <c r="A29" i="12"/>
  <c r="A28" i="12"/>
  <c r="A27" i="12"/>
  <c r="A26" i="12"/>
  <c r="A25" i="12"/>
  <c r="A59" i="12"/>
  <c r="A58" i="12"/>
  <c r="A24" i="12"/>
  <c r="A86" i="12"/>
  <c r="A57" i="12"/>
  <c r="A56" i="12"/>
  <c r="A13" i="12"/>
  <c r="A12" i="12"/>
  <c r="A11" i="12"/>
  <c r="A10" i="12"/>
  <c r="A9" i="12"/>
  <c r="A23" i="12"/>
  <c r="A22" i="12"/>
  <c r="A55" i="12"/>
  <c r="A85" i="12"/>
  <c r="A8" i="12"/>
  <c r="A7" i="12"/>
  <c r="A6" i="12"/>
  <c r="A5" i="12"/>
  <c r="A4" i="12"/>
  <c r="A3" i="12"/>
  <c r="A2" i="12"/>
  <c r="A21" i="12"/>
  <c r="A20" i="12"/>
  <c r="A54" i="12"/>
  <c r="A53" i="12"/>
  <c r="A52" i="12"/>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C7" i="15"/>
  <c r="C8" i="15"/>
  <c r="C9" i="15"/>
  <c r="C10" i="15"/>
  <c r="C11" i="15"/>
  <c r="C6" i="13"/>
  <c r="C7" i="13"/>
  <c r="C8" i="13"/>
  <c r="C9" i="13"/>
  <c r="C10" i="13"/>
  <c r="C11" i="13"/>
  <c r="A2" i="2" l="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O10" i="1" a="1"/>
  <c r="O10" i="1" s="1"/>
  <c r="O8" i="1" a="1"/>
  <c r="O8" i="1" s="1"/>
  <c r="O3" i="1" a="1"/>
  <c r="O3" i="1" s="1"/>
  <c r="O2" i="1" a="1"/>
  <c r="O2" i="1" s="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E11" i="15"/>
  <c r="D11" i="15"/>
  <c r="E10" i="15"/>
  <c r="D10" i="15"/>
  <c r="D9" i="15"/>
  <c r="E9" i="15"/>
  <c r="D8" i="15"/>
  <c r="E8" i="15"/>
  <c r="D7" i="15"/>
  <c r="E7" i="15"/>
  <c r="E11" i="13"/>
  <c r="D10" i="13"/>
  <c r="E10" i="13"/>
  <c r="D7" i="13"/>
  <c r="D9" i="13"/>
  <c r="E9" i="13"/>
  <c r="E8" i="13"/>
  <c r="D8" i="13"/>
  <c r="E7" i="13"/>
  <c r="D6" i="13"/>
  <c r="E6" i="13"/>
  <c r="D11"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<sst xmlns="http://schemas.openxmlformats.org/spreadsheetml/2006/main" count="1902" uniqueCount="64">
  <si>
    <t>Year</t>
  </si>
  <si>
    <t>Order Date</t>
  </si>
  <si>
    <t>Ship Date</t>
  </si>
  <si>
    <t>Segment</t>
  </si>
  <si>
    <t>State</t>
  </si>
  <si>
    <t>Region</t>
  </si>
  <si>
    <t>Category</t>
  </si>
  <si>
    <t>Sales</t>
  </si>
  <si>
    <t>Quantity</t>
  </si>
  <si>
    <t>Discount</t>
  </si>
  <si>
    <t>Profit</t>
  </si>
  <si>
    <t>Consumer</t>
  </si>
  <si>
    <t>Kentucky</t>
  </si>
  <si>
    <t>South</t>
  </si>
  <si>
    <t>Furniture</t>
  </si>
  <si>
    <t>Corporate</t>
  </si>
  <si>
    <t>California</t>
  </si>
  <si>
    <t>West</t>
  </si>
  <si>
    <t>Office Supplies</t>
  </si>
  <si>
    <t>Florida</t>
  </si>
  <si>
    <t>Technology</t>
  </si>
  <si>
    <t>North Carolina</t>
  </si>
  <si>
    <t>Washington</t>
  </si>
  <si>
    <t>Home Office</t>
  </si>
  <si>
    <t>Texas</t>
  </si>
  <si>
    <t>Central</t>
  </si>
  <si>
    <t>Wisconsin</t>
  </si>
  <si>
    <t>Utah</t>
  </si>
  <si>
    <t>Nebraska</t>
  </si>
  <si>
    <t>Pennsylvania</t>
  </si>
  <si>
    <t>East</t>
  </si>
  <si>
    <t>Illinois</t>
  </si>
  <si>
    <t>Minnesota</t>
  </si>
  <si>
    <t>Michigan</t>
  </si>
  <si>
    <t>Delaware</t>
  </si>
  <si>
    <t>Indiana</t>
  </si>
  <si>
    <t>New York</t>
  </si>
  <si>
    <t>Arizona</t>
  </si>
  <si>
    <t>Virginia</t>
  </si>
  <si>
    <t>Tennessee</t>
  </si>
  <si>
    <t>Alabama</t>
  </si>
  <si>
    <t>South Carolina</t>
  </si>
  <si>
    <t>Oregon</t>
  </si>
  <si>
    <t>states</t>
  </si>
  <si>
    <t>votes</t>
  </si>
  <si>
    <t>gujarat</t>
  </si>
  <si>
    <t>madhya pradesh</t>
  </si>
  <si>
    <t>uttar pradesh</t>
  </si>
  <si>
    <t>Sum of Profit</t>
  </si>
  <si>
    <t>Sum of Sales</t>
  </si>
  <si>
    <t>Grand Total</t>
  </si>
  <si>
    <t>Sum of Discount</t>
  </si>
  <si>
    <t>Distribution of 'Region' for each 'Segment'</t>
  </si>
  <si>
    <t>Count of Region</t>
  </si>
  <si>
    <t>Timeline</t>
  </si>
  <si>
    <t>Values</t>
  </si>
  <si>
    <t>Forecast</t>
  </si>
  <si>
    <t>Lower Confidence Bound</t>
  </si>
  <si>
    <t>Upper Confidence Bound</t>
  </si>
  <si>
    <t>Pop count</t>
  </si>
  <si>
    <t>Forecast(Pop count)</t>
  </si>
  <si>
    <t>Lower Confidence Bound(Pop count)</t>
  </si>
  <si>
    <t>Upper Confidence Bound(Pop count)</t>
  </si>
  <si>
    <t>Download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</si>
</sst>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1"/>
      <name val="Aptos Narrow"/>
      <family val="2"/>
      <scheme val="minor"/>
    </font>
    <font>
      <sz val="11"/>
      <color rgb="FFFF0000"/>
      <name val="Aptos Narrow"/>
      <family val="2"/>
      <scheme val="minor"/>
    </font>
    <font>
      <sz val="12"/>
      <color rgb="FF000000"/>
      <name val="Calibri"/>
      <family val="2"/>
    </font>
    <font>
      <sz val="11"/>
      <color theme="1"/>
      <name val="Calibri"/>
      <family val="2"/>
    </font>
    <font>
      <u/>
      <sz val="11"/>
      <color theme="10"/>
      <name val="Aptos Narrow"/>
      <family val="2"/>
      <scheme val="minor"/>
    </font>
    <font>
      <b/>
      <sz val="11"/>
      <color theme="1"/>
      <name val="Calibri"/>
      <family val="2"/>
    </font>
    <font>
      <i/>
      <sz val="12"/>
      <color rgb="FF000000"/>
      <name val="Calibri"/>
      <family val="2"/>
    </font>
    <font>
      <i/>
      <sz val="11"/>
      <color theme="1"/>
      <name val="Calibri"/>
      <family val="2"/>
    </font>
    <font>
      <i/>
      <sz val="11"/>
      <color theme="1"/>
      <name val="Aptos Narrow"/>
      <family val="2"/>
      <scheme val="minor"/>
    </font>
    <font>
      <u/>
      <sz val="11"/>
      <color theme="1"/>
      <name val="Aptos Narrow"/>
      <family val="2"/>
      <scheme val="minor"/>
    </font>
    <font>
      <b/>
      <i/>
      <sz val="11"/>
      <color rgb="FF000000"/>
      <name val="Calibri"/>
      <family val="2"/>
    </font>
  </fonts>
  <fills count="5">
    <fill>
      <patternFill patternType="none"/>
    </fill>
    <fill>
      <patternFill patternType="gray125"/>
    </fill>
    <fill>
      <patternFill patternType="solid">
        <fgColor theme="4"/>
        <bgColor theme="4"/>
      </patternFill>
    </fill>
    <fill>
      <patternFill patternType="solid">
        <fgColor rgb="FFDEEAF6"/>
        <bgColor rgb="FFDEEAF6"/>
      </patternFill>
    </fill>
    <fill>
      <patternFill patternType="solid">
        <fgColor rgb="FFFFFF00"/>
        <bgColor rgb="FFDEEAF6"/>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3" fillId="2" borderId="0" xfId="0" applyFont="1" applyFill="1"/>
    <xf numFmtId="0" fontId="1" fillId="3" borderId="0" xfId="0" applyFont="1" applyFill="1"/>
    <xf numFmtId="14" fontId="4" fillId="3" borderId="0" xfId="0" applyNumberFormat="1" applyFont="1" applyFill="1"/>
    <xf numFmtId="0" fontId="0" fillId="0" borderId="0" xfId="0" applyAlignment="1">
      <alignment wrapText="1"/>
    </xf>
    <xf numFmtId="14" fontId="0" fillId="0" borderId="0" xfId="0" applyNumberFormat="1"/>
    <xf numFmtId="18" fontId="0" fillId="0" borderId="0" xfId="0" applyNumberFormat="1"/>
    <xf numFmtId="0" fontId="1" fillId="4" borderId="0" xfId="0" applyFont="1" applyFill="1"/>
    <xf numFmtId="0" fontId="2" fillId="3" borderId="0" xfId="0" applyFont="1" applyFill="1"/>
    <xf numFmtId="14" fontId="6" fillId="3" borderId="0" xfId="0" applyNumberFormat="1" applyFont="1" applyFill="1"/>
    <xf numFmtId="0" fontId="7" fillId="2" borderId="0" xfId="0" applyFont="1" applyFill="1"/>
    <xf numFmtId="14" fontId="8" fillId="3" borderId="0" xfId="0" applyNumberFormat="1" applyFont="1" applyFill="1"/>
    <xf numFmtId="0" fontId="9" fillId="3" borderId="0" xfId="0" applyFont="1" applyFill="1"/>
    <xf numFmtId="0" fontId="10" fillId="3" borderId="0" xfId="0" applyFont="1" applyFill="1"/>
    <xf numFmtId="0" fontId="0" fillId="0" borderId="0" xfId="0" pivotButton="1"/>
    <xf numFmtId="0" fontId="11" fillId="0" borderId="0" xfId="0" applyFont="1" applyAlignment="1">
      <alignment horizontal="left" vertical="center"/>
    </xf>
    <xf numFmtId="2" fontId="0" fillId="0" borderId="0" xfId="0" applyNumberFormat="1"/>
    <xf numFmtId="0" fontId="5" fillId="0" borderId="0" xfId="1"/>
  </cellXfs>
  <cellStyles count="2">
    <cellStyle name="Hyperlink" xfId="1" builtinId="8"/>
    <cellStyle name="Normal" xfId="0" builtinId="0"/>
  </cellStyles>
  <dxfs count="4">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[add-ins.xlsx]Sheet8!PivotTable2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a:t>
            </a:r>
            <a:r>
              <a:rPr lang="en-US">
                <a:solidFill>
                  <a:srgbClr val="DD5A13"/>
                </a:solidFill>
              </a:rPr>
              <a:t>Consumer</a:t>
            </a:r>
            <a:r>
              <a:rPr lang="en-US"/>
              <a:t> has noticeably higher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s>
    <c:plotArea>
      <c:layout/>
      <c:barChart>
        <c:barDir val="bar"/>
        <c:grouping val="clustered"/>
        <c:varyColors val="0"/>
        <c:ser>
          <c:idx val="0"/>
          <c:order val="0"/>
          <c:tx>
            <c:strRef>
              <c:f>Sheet8!$B$2</c:f>
              <c:strCache>
                <c:ptCount val="1"/>
                <c:pt idx="0">
                  <c:v>Total</c:v>
                </c:pt>
              </c:strCache>
            </c:strRef>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2-DBA1-4702-953F-CB69759C068B}"/>
              </c:ext>
            </c:extLst>
          </c:dPt>
          <c:cat>
            <c:strRef>
              <c:f>Sheet8!$A$3:$A$6</c:f>
              <c:strCache>
                <c:ptCount val="3"/>
                <c:pt idx="0">
                  <c:v>Consumer</c:v>
                </c:pt>
                <c:pt idx="1">
                  <c:v>Home Office</c:v>
                </c:pt>
                <c:pt idx="2">
                  <c:v>Corporate</c:v>
                </c:pt>
              </c:strCache>
            </c:strRef>
          </c:cat>
          <c:val>
            <c:numRef>
              <c:f>Sheet8!$B$3:$B$6</c:f>
              <c:numCache>
                <c:formatCode>General</c:formatCode>
                <c:ptCount val="3"/>
                <c:pt idx="0">
                  <c:v>7.5500000000000016</c:v>
                </c:pt>
                <c:pt idx="1">
                  <c:v>4.22</c:v>
                </c:pt>
                <c:pt idx="2">
                  <c:v>3.6000000000000005</c:v>
                </c:pt>
              </c:numCache>
            </c:numRef>
          </c:val>
          <c:extLst>
            <c:ext xmlns:c16="http://schemas.microsoft.com/office/drawing/2014/chart" uri="{C3380CC4-5D6E-409C-BE32-E72D297353CC}">
              <c16:uniqueId val="{00000000-DBA1-4702-953F-CB69759C068B}"/>
            </c:ext>
          </c:extLst>
        </c:ser>
        <c:dLbls>
          <c:showLegendKey val="0"/>
          <c:showVal val="0"/>
          <c:showCatName val="0"/>
          <c:showSerName val="0"/>
          <c:showPercent val="0"/>
          <c:showBubbleSize val="0"/>
        </c:dLbls>
        <c:gapWidth val="33"/>
        <c:overlap val="-30"/>
        <c:axId val="599561743"/>
        <c:axId val="599563183"/>
      </c:barChart>
      <c:catAx>
        <c:axId val="599561743"/>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63183"/>
        <c:crosses val="autoZero"/>
        <c:auto val="1"/>
        <c:lblAlgn val="ctr"/>
        <c:lblOffset val="100"/>
        <c:noMultiLvlLbl val="0"/>
      </c:catAx>
      <c:valAx>
        <c:axId val="599563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61743"/>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[add-ins.xlsx]Sheet9!PivotTable3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a:t>
            </a:r>
            <a:r>
              <a:rPr lang="en-US">
                <a:solidFill>
                  <a:srgbClr val="DD5A13"/>
                </a:solidFill>
              </a:rPr>
              <a:t>Consumer</a:t>
            </a:r>
            <a:r>
              <a:rPr lang="en-US"/>
              <a:t> accounts for the majority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w="19050">
            <a:solidFill>
              <a:schemeClr val="lt1"/>
            </a:solidFill>
          </a:ln>
          <a:effectLst/>
        </c:spPr>
      </c:pivotFmt>
      <c:pivotFmt>
        <c:idx val="2"/>
        <c:spPr>
          <a:solidFill>
            <a:srgbClr val="D2D2D2"/>
          </a:solidFill>
          <a:ln w="19050">
            <a:solidFill>
              <a:schemeClr val="lt1"/>
            </a:solidFill>
          </a:ln>
          <a:effectLst/>
        </c:spPr>
      </c:pivotFmt>
      <c:pivotFmt>
        <c:idx val="3"/>
        <c:spPr>
          <a:solidFill>
            <a:srgbClr val="D2D2D2"/>
          </a:solidFill>
          <a:ln w="19050">
            <a:solidFill>
              <a:schemeClr val="lt1"/>
            </a:solidFill>
          </a:ln>
          <a:effectLst/>
        </c:spPr>
      </c:pivotFmt>
    </c:pivotFmts>
    <c:plotArea>
      <c:layout/>
      <c:doughnutChart>
        <c:varyColors val="1"/>
        <c:ser>
          <c:idx val="0"/>
          <c:order val="0"/>
          <c:tx>
            <c:strRef>
              <c:f>Sheet9!$B$2</c:f>
              <c:strCache>
                <c:ptCount val="1"/>
                <c:pt idx="0">
                  <c:v>Total</c:v>
                </c:pt>
              </c:strCache>
            </c:strRef>
          </c:tx>
          <c:spPr>
            <a:solidFill>
              <a:srgbClr val="D2D2D2"/>
            </a:solidFill>
          </c:spPr>
          <c:dPt>
            <c:idx val="0"/>
            <c:bubble3D val="0"/>
            <c:spPr>
              <a:solidFill>
                <a:srgbClr val="ED7331"/>
              </a:solidFill>
              <a:ln w="19050">
                <a:solidFill>
                  <a:schemeClr val="lt1"/>
                </a:solidFill>
              </a:ln>
              <a:effectLst/>
            </c:spPr>
            <c:extLst>
              <c:ext xmlns:c16="http://schemas.microsoft.com/office/drawing/2014/chart" uri="{C3380CC4-5D6E-409C-BE32-E72D297353CC}">
                <c16:uniqueId val="{00000002-3473-496B-86FD-E898D537C392}"/>
              </c:ext>
            </c:extLst>
          </c:dPt>
          <c:dPt>
            <c:idx val="1"/>
            <c:bubble3D val="0"/>
            <c:spPr>
              <a:solidFill>
                <a:srgbClr val="D2D2D2"/>
              </a:solidFill>
              <a:ln w="19050">
                <a:solidFill>
                  <a:schemeClr val="lt1"/>
                </a:solidFill>
              </a:ln>
              <a:effectLst/>
            </c:spPr>
            <c:extLst>
              <c:ext xmlns:c16="http://schemas.microsoft.com/office/drawing/2014/chart" uri="{C3380CC4-5D6E-409C-BE32-E72D297353CC}">
                <c16:uniqueId val="{00000003-6FC6-45D5-A3BA-1D9C3239432B}"/>
              </c:ext>
            </c:extLst>
          </c:dPt>
          <c:dPt>
            <c:idx val="2"/>
            <c:bubble3D val="0"/>
            <c:spPr>
              <a:solidFill>
                <a:srgbClr val="D2D2D2"/>
              </a:solidFill>
              <a:ln w="19050">
                <a:solidFill>
                  <a:schemeClr val="lt1"/>
                </a:solidFill>
              </a:ln>
              <a:effectLst/>
            </c:spPr>
            <c:extLst>
              <c:ext xmlns:c16="http://schemas.microsoft.com/office/drawing/2014/chart" uri="{C3380CC4-5D6E-409C-BE32-E72D297353CC}">
                <c16:uniqueId val="{00000005-6FC6-45D5-A3BA-1D9C3239432B}"/>
              </c:ext>
            </c:extLst>
          </c:dPt>
          <c:cat>
            <c:strRef>
              <c:f>Sheet9!$A$3:$A$6</c:f>
              <c:strCache>
                <c:ptCount val="3"/>
                <c:pt idx="0">
                  <c:v>Consumer</c:v>
                </c:pt>
                <c:pt idx="1">
                  <c:v>Corporate</c:v>
                </c:pt>
                <c:pt idx="2">
                  <c:v>Home Office</c:v>
                </c:pt>
              </c:strCache>
            </c:strRef>
          </c:cat>
          <c:val>
            <c:numRef>
              <c:f>Sheet9!$B$3:$B$6</c:f>
              <c:numCache>
                <c:formatCode>General</c:formatCode>
                <c:ptCount val="3"/>
                <c:pt idx="0">
                  <c:v>14670.74349999999</c:v>
                </c:pt>
                <c:pt idx="1">
                  <c:v>4735.3140000000003</c:v>
                </c:pt>
                <c:pt idx="2">
                  <c:v>2033.8501999999999</c:v>
                </c:pt>
              </c:numCache>
            </c:numRef>
          </c:val>
          <c:extLst>
            <c:ext xmlns:c16="http://schemas.microsoft.com/office/drawing/2014/chart" uri="{C3380CC4-5D6E-409C-BE32-E72D297353CC}">
              <c16:uniqueId val="{00000000-3473-496B-86FD-E898D537C39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'Quantity' appear to form a cluster with </a:t>
            </a:r>
            <a:r>
              <a:rPr lang="en-US">
                <a:solidFill>
                  <a:srgbClr val="DD5A13"/>
                </a:solidFill>
              </a:rPr>
              <a:t>3</a:t>
            </a:r>
            <a:r>
              <a:rPr lang="en-US"/>
              <a:t> outliers.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Sheet6!$I$1</c:f>
              <c:strCache>
                <c:ptCount val="1"/>
                <c:pt idx="0">
                  <c:v>Quantity</c:v>
                </c:pt>
              </c:strCache>
            </c:strRef>
          </c:tx>
          <c:spPr>
            <a:ln w="25400" cap="rnd">
              <a:noFill/>
              <a:round/>
            </a:ln>
            <a:effectLst/>
          </c:spPr>
          <c:marker>
            <c:symbol val="circle"/>
            <c:size val="7"/>
            <c:spPr>
              <a:solidFill>
                <a:srgbClr val="D2D2D2"/>
              </a:solidFill>
              <a:ln w="9525">
                <a:solidFill>
                  <a:srgbClr val="FFFFFF"/>
                </a:solidFill>
                <a:prstDash val="solid"/>
              </a:ln>
              <a:effectLst/>
            </c:spPr>
          </c:marker>
          <c:dPt>
            <c:idx val="10"/>
            <c:marker>
              <c:symbol val="circle"/>
              <c:size val="7"/>
              <c:spPr>
                <a:solidFill>
                  <a:srgbClr val="ED7331"/>
                </a:solidFill>
                <a:ln w="9525">
                  <a:solidFill>
                    <a:srgbClr val="FFFFFF"/>
                  </a:solidFill>
                  <a:prstDash val="solid"/>
                </a:ln>
                <a:effectLst/>
              </c:spPr>
            </c:marker>
            <c:bubble3D val="0"/>
            <c:extLst>
              <c:ext xmlns:c16="http://schemas.microsoft.com/office/drawing/2014/chart" uri="{C3380CC4-5D6E-409C-BE32-E72D297353CC}">
                <c16:uniqueId val="{00000000-CC63-4EBB-B646-A4DC34443697}"/>
              </c:ext>
            </c:extLst>
          </c:dPt>
          <c:dPt>
            <c:idx val="27"/>
            <c:marker>
              <c:symbol val="circle"/>
              <c:size val="7"/>
              <c:spPr>
                <a:solidFill>
                  <a:srgbClr val="ED7331"/>
                </a:solidFill>
                <a:ln w="9525">
                  <a:solidFill>
                    <a:srgbClr val="FFFFFF"/>
                  </a:solidFill>
                  <a:prstDash val="solid"/>
                </a:ln>
                <a:effectLst/>
              </c:spPr>
            </c:marker>
            <c:bubble3D val="0"/>
            <c:extLst>
              <c:ext xmlns:c16="http://schemas.microsoft.com/office/drawing/2014/chart" uri="{C3380CC4-5D6E-409C-BE32-E72D297353CC}">
                <c16:uniqueId val="{00000001-CC63-4EBB-B646-A4DC34443697}"/>
              </c:ext>
            </c:extLst>
          </c:dPt>
          <c:dPt>
            <c:idx val="37"/>
            <c:marker>
              <c:symbol val="circle"/>
              <c:size val="7"/>
              <c:spPr>
                <a:solidFill>
                  <a:srgbClr val="ED7331"/>
                </a:solidFill>
                <a:ln w="9525">
                  <a:solidFill>
                    <a:srgbClr val="FFFFFF"/>
                  </a:solidFill>
                  <a:prstDash val="solid"/>
                </a:ln>
                <a:effectLst/>
              </c:spPr>
            </c:marker>
            <c:bubble3D val="0"/>
            <c:extLst>
              <c:ext xmlns:c16="http://schemas.microsoft.com/office/drawing/2014/chart" uri="{C3380CC4-5D6E-409C-BE32-E72D297353CC}">
                <c16:uniqueId val="{00000002-CC63-4EBB-B646-A4DC34443697}"/>
              </c:ext>
            </c:extLst>
          </c:dPt>
          <c:xVal>
            <c:numRef>
              <c:f>Sheet6!$H$2:$H$100</c:f>
              <c:numCache>
                <c:formatCode>General</c:formatCode>
                <c:ptCount val="99"/>
                <c:pt idx="0">
                  <c:v>261.95999999999998</c:v>
                </c:pt>
                <c:pt idx="1">
                  <c:v>731.93999999999994</c:v>
                </c:pt>
                <c:pt idx="2">
                  <c:v>14.62</c:v>
                </c:pt>
                <c:pt idx="3">
                  <c:v>957.57749999999999</c:v>
                </c:pt>
                <c:pt idx="4">
                  <c:v>22.368000000000002</c:v>
                </c:pt>
                <c:pt idx="5">
                  <c:v>48.86</c:v>
                </c:pt>
                <c:pt idx="6">
                  <c:v>7.28</c:v>
                </c:pt>
                <c:pt idx="7">
                  <c:v>907.15200000000004</c:v>
                </c:pt>
                <c:pt idx="8">
                  <c:v>18.504000000000001</c:v>
                </c:pt>
                <c:pt idx="9">
                  <c:v>114.9</c:v>
                </c:pt>
                <c:pt idx="10">
                  <c:v>1706.1840000000002</c:v>
                </c:pt>
                <c:pt idx="11">
                  <c:v>911.42399999999998</c:v>
                </c:pt>
                <c:pt idx="12">
                  <c:v>15.552000000000003</c:v>
                </c:pt>
                <c:pt idx="13">
                  <c:v>407.97600000000006</c:v>
                </c:pt>
                <c:pt idx="14">
                  <c:v>68.809999999999988</c:v>
                </c:pt>
                <c:pt idx="15">
                  <c:v>2.5439999999999996</c:v>
                </c:pt>
                <c:pt idx="16">
                  <c:v>665.88</c:v>
                </c:pt>
                <c:pt idx="17">
                  <c:v>55.5</c:v>
                </c:pt>
                <c:pt idx="18">
                  <c:v>8.56</c:v>
                </c:pt>
                <c:pt idx="19">
                  <c:v>213.48000000000002</c:v>
                </c:pt>
                <c:pt idx="20">
                  <c:v>22.72</c:v>
                </c:pt>
                <c:pt idx="21">
                  <c:v>19.459999999999997</c:v>
                </c:pt>
                <c:pt idx="22">
                  <c:v>60.339999999999996</c:v>
                </c:pt>
                <c:pt idx="23">
                  <c:v>71.371999999999986</c:v>
                </c:pt>
                <c:pt idx="24">
                  <c:v>1044.6299999999999</c:v>
                </c:pt>
                <c:pt idx="25">
                  <c:v>11.648000000000001</c:v>
                </c:pt>
                <c:pt idx="26">
                  <c:v>90.570000000000007</c:v>
                </c:pt>
                <c:pt idx="27">
                  <c:v>3083.4300000000003</c:v>
                </c:pt>
                <c:pt idx="28">
                  <c:v>9.6180000000000021</c:v>
                </c:pt>
                <c:pt idx="29">
                  <c:v>124.20000000000002</c:v>
                </c:pt>
                <c:pt idx="30">
                  <c:v>3.2640000000000002</c:v>
                </c:pt>
                <c:pt idx="31">
                  <c:v>86.304000000000002</c:v>
                </c:pt>
                <c:pt idx="32">
                  <c:v>6.8580000000000014</c:v>
                </c:pt>
                <c:pt idx="33">
                  <c:v>15.76</c:v>
                </c:pt>
                <c:pt idx="34">
                  <c:v>29.472000000000001</c:v>
                </c:pt>
                <c:pt idx="35">
                  <c:v>1097.5440000000003</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75.179999999999993</c:v>
                </c:pt>
                <c:pt idx="51">
                  <c:v>6.16</c:v>
                </c:pt>
                <c:pt idx="52">
                  <c:v>89.99</c:v>
                </c:pt>
                <c:pt idx="53">
                  <c:v>15.260000000000002</c:v>
                </c:pt>
                <c:pt idx="54">
                  <c:v>1029.95</c:v>
                </c:pt>
                <c:pt idx="55">
                  <c:v>208.56</c:v>
                </c:pt>
                <c:pt idx="56">
                  <c:v>32.400000000000006</c:v>
                </c:pt>
                <c:pt idx="57">
                  <c:v>319.41000000000003</c:v>
                </c:pt>
                <c:pt idx="58">
                  <c:v>14.56</c:v>
                </c:pt>
                <c:pt idx="59">
                  <c:v>30</c:v>
                </c:pt>
                <c:pt idx="60">
                  <c:v>48.480000000000004</c:v>
                </c:pt>
                <c:pt idx="61">
                  <c:v>1.68</c:v>
                </c:pt>
                <c:pt idx="62">
                  <c:v>13.98</c:v>
                </c:pt>
                <c:pt idx="63">
                  <c:v>25.824000000000002</c:v>
                </c:pt>
                <c:pt idx="64">
                  <c:v>146.72999999999999</c:v>
                </c:pt>
                <c:pt idx="65">
                  <c:v>79.760000000000005</c:v>
                </c:pt>
                <c:pt idx="66">
                  <c:v>213.11499999999998</c:v>
                </c:pt>
                <c:pt idx="67">
                  <c:v>1113.0240000000001</c:v>
                </c:pt>
                <c:pt idx="68">
                  <c:v>167.96800000000002</c:v>
                </c:pt>
                <c:pt idx="69">
                  <c:v>75.88</c:v>
                </c:pt>
                <c:pt idx="70">
                  <c:v>4.6159999999999997</c:v>
                </c:pt>
                <c:pt idx="71">
                  <c:v>19.049999999999997</c:v>
                </c:pt>
                <c:pt idx="72">
                  <c:v>831.93600000000015</c:v>
                </c:pt>
                <c:pt idx="73">
                  <c:v>97.04</c:v>
                </c:pt>
                <c:pt idx="74">
                  <c:v>72.784000000000006</c:v>
                </c:pt>
                <c:pt idx="75">
                  <c:v>1.2479999999999998</c:v>
                </c:pt>
                <c:pt idx="76">
                  <c:v>9.7080000000000002</c:v>
                </c:pt>
                <c:pt idx="77">
                  <c:v>27.240000000000002</c:v>
                </c:pt>
                <c:pt idx="78">
                  <c:v>19.3</c:v>
                </c:pt>
                <c:pt idx="79">
                  <c:v>208.16</c:v>
                </c:pt>
                <c:pt idx="80">
                  <c:v>16.740000000000002</c:v>
                </c:pt>
                <c:pt idx="81">
                  <c:v>14.9</c:v>
                </c:pt>
                <c:pt idx="82">
                  <c:v>21.39</c:v>
                </c:pt>
                <c:pt idx="83">
                  <c:v>200.98400000000004</c:v>
                </c:pt>
                <c:pt idx="84">
                  <c:v>230.376</c:v>
                </c:pt>
                <c:pt idx="85">
                  <c:v>301.95999999999998</c:v>
                </c:pt>
                <c:pt idx="86">
                  <c:v>19.989999999999998</c:v>
                </c:pt>
                <c:pt idx="87">
                  <c:v>6.16</c:v>
                </c:pt>
                <c:pt idx="88">
                  <c:v>158.36800000000002</c:v>
                </c:pt>
                <c:pt idx="89">
                  <c:v>20.100000000000001</c:v>
                </c:pt>
                <c:pt idx="90">
                  <c:v>73.584000000000003</c:v>
                </c:pt>
                <c:pt idx="91">
                  <c:v>6.48</c:v>
                </c:pt>
                <c:pt idx="92">
                  <c:v>12.96</c:v>
                </c:pt>
                <c:pt idx="93">
                  <c:v>53.34</c:v>
                </c:pt>
                <c:pt idx="94">
                  <c:v>32.96</c:v>
                </c:pt>
                <c:pt idx="95">
                  <c:v>5.6820000000000013</c:v>
                </c:pt>
                <c:pt idx="96">
                  <c:v>96.53</c:v>
                </c:pt>
                <c:pt idx="97">
                  <c:v>51.311999999999998</c:v>
                </c:pt>
                <c:pt idx="98">
                  <c:v>77.88</c:v>
                </c:pt>
              </c:numCache>
            </c:numRef>
          </c:xVal>
          <c:yVal>
            <c:numRef>
              <c:f>Sheet6!$I$2:$I$100</c:f>
              <c:numCache>
                <c:formatCode>General</c:formatCode>
                <c:ptCount val="99"/>
                <c:pt idx="0">
                  <c:v>2</c:v>
                </c:pt>
                <c:pt idx="1">
                  <c:v>3</c:v>
                </c:pt>
                <c:pt idx="2">
                  <c:v>2</c:v>
                </c:pt>
                <c:pt idx="3">
                  <c:v>5</c:v>
                </c:pt>
                <c:pt idx="4">
                  <c:v>2</c:v>
                </c:pt>
                <c:pt idx="5">
                  <c:v>7</c:v>
                </c:pt>
                <c:pt idx="6">
                  <c:v>4</c:v>
                </c:pt>
                <c:pt idx="7">
                  <c:v>6</c:v>
                </c:pt>
                <c:pt idx="8">
                  <c:v>3</c:v>
                </c:pt>
                <c:pt idx="9">
                  <c:v>5</c:v>
                </c:pt>
                <c:pt idx="10">
                  <c:v>9</c:v>
                </c:pt>
                <c:pt idx="11">
                  <c:v>4</c:v>
                </c:pt>
                <c:pt idx="12">
                  <c:v>3</c:v>
                </c:pt>
                <c:pt idx="13">
                  <c:v>3</c:v>
                </c:pt>
                <c:pt idx="14">
                  <c:v>5</c:v>
                </c:pt>
                <c:pt idx="15">
                  <c:v>3</c:v>
                </c:pt>
                <c:pt idx="16">
                  <c:v>6</c:v>
                </c:pt>
                <c:pt idx="17">
                  <c:v>2</c:v>
                </c:pt>
                <c:pt idx="18">
                  <c:v>2</c:v>
                </c:pt>
                <c:pt idx="19">
                  <c:v>3</c:v>
                </c:pt>
                <c:pt idx="20">
                  <c:v>4</c:v>
                </c:pt>
                <c:pt idx="21">
                  <c:v>7</c:v>
                </c:pt>
                <c:pt idx="22">
                  <c:v>7</c:v>
                </c:pt>
                <c:pt idx="23">
                  <c:v>2</c:v>
                </c:pt>
                <c:pt idx="24">
                  <c:v>3</c:v>
                </c:pt>
                <c:pt idx="25">
                  <c:v>2</c:v>
                </c:pt>
                <c:pt idx="26">
                  <c:v>3</c:v>
                </c:pt>
                <c:pt idx="27">
                  <c:v>7</c:v>
                </c:pt>
                <c:pt idx="28">
                  <c:v>2</c:v>
                </c:pt>
                <c:pt idx="29">
                  <c:v>3</c:v>
                </c:pt>
                <c:pt idx="30">
                  <c:v>2</c:v>
                </c:pt>
                <c:pt idx="31">
                  <c:v>6</c:v>
                </c:pt>
                <c:pt idx="32">
                  <c:v>6</c:v>
                </c:pt>
                <c:pt idx="33">
                  <c:v>2</c:v>
                </c:pt>
                <c:pt idx="34">
                  <c:v>3</c:v>
                </c:pt>
                <c:pt idx="35">
                  <c:v>7</c:v>
                </c:pt>
                <c:pt idx="36">
                  <c:v>5</c:v>
                </c:pt>
                <c:pt idx="37">
                  <c:v>9</c:v>
                </c:pt>
                <c:pt idx="38">
                  <c:v>3</c:v>
                </c:pt>
                <c:pt idx="39">
                  <c:v>3</c:v>
                </c:pt>
                <c:pt idx="40">
                  <c:v>4</c:v>
                </c:pt>
                <c:pt idx="41">
                  <c:v>4</c:v>
                </c:pt>
                <c:pt idx="42">
                  <c:v>2</c:v>
                </c:pt>
                <c:pt idx="43">
                  <c:v>2</c:v>
                </c:pt>
                <c:pt idx="44">
                  <c:v>2</c:v>
                </c:pt>
                <c:pt idx="45">
                  <c:v>2</c:v>
                </c:pt>
                <c:pt idx="46">
                  <c:v>4</c:v>
                </c:pt>
                <c:pt idx="47">
                  <c:v>3</c:v>
                </c:pt>
                <c:pt idx="48">
                  <c:v>2</c:v>
                </c:pt>
                <c:pt idx="49">
                  <c:v>6</c:v>
                </c:pt>
                <c:pt idx="50">
                  <c:v>6</c:v>
                </c:pt>
                <c:pt idx="51">
                  <c:v>2</c:v>
                </c:pt>
                <c:pt idx="52">
                  <c:v>1</c:v>
                </c:pt>
                <c:pt idx="53">
                  <c:v>7</c:v>
                </c:pt>
                <c:pt idx="54">
                  <c:v>5</c:v>
                </c:pt>
                <c:pt idx="55">
                  <c:v>6</c:v>
                </c:pt>
                <c:pt idx="56">
                  <c:v>5</c:v>
                </c:pt>
                <c:pt idx="57">
                  <c:v>5</c:v>
                </c:pt>
                <c:pt idx="58">
                  <c:v>2</c:v>
                </c:pt>
                <c:pt idx="59">
                  <c:v>2</c:v>
                </c:pt>
                <c:pt idx="60">
                  <c:v>4</c:v>
                </c:pt>
                <c:pt idx="61">
                  <c:v>1</c:v>
                </c:pt>
                <c:pt idx="62">
                  <c:v>2</c:v>
                </c:pt>
                <c:pt idx="63">
                  <c:v>6</c:v>
                </c:pt>
                <c:pt idx="64">
                  <c:v>3</c:v>
                </c:pt>
                <c:pt idx="65">
                  <c:v>4</c:v>
                </c:pt>
                <c:pt idx="66">
                  <c:v>5</c:v>
                </c:pt>
                <c:pt idx="67">
                  <c:v>8</c:v>
                </c:pt>
                <c:pt idx="68">
                  <c:v>4</c:v>
                </c:pt>
                <c:pt idx="69">
                  <c:v>2</c:v>
                </c:pt>
                <c:pt idx="70">
                  <c:v>1</c:v>
                </c:pt>
                <c:pt idx="71">
                  <c:v>3</c:v>
                </c:pt>
                <c:pt idx="72">
                  <c:v>8</c:v>
                </c:pt>
                <c:pt idx="73">
                  <c:v>2</c:v>
                </c:pt>
                <c:pt idx="74">
                  <c:v>1</c:v>
                </c:pt>
                <c:pt idx="75">
                  <c:v>3</c:v>
                </c:pt>
                <c:pt idx="76">
                  <c:v>3</c:v>
                </c:pt>
                <c:pt idx="77">
                  <c:v>3</c:v>
                </c:pt>
                <c:pt idx="78">
                  <c:v>5</c:v>
                </c:pt>
                <c:pt idx="79">
                  <c:v>1</c:v>
                </c:pt>
                <c:pt idx="80">
                  <c:v>3</c:v>
                </c:pt>
                <c:pt idx="81">
                  <c:v>5</c:v>
                </c:pt>
                <c:pt idx="82">
                  <c:v>1</c:v>
                </c:pt>
                <c:pt idx="83">
                  <c:v>7</c:v>
                </c:pt>
                <c:pt idx="84">
                  <c:v>3</c:v>
                </c:pt>
                <c:pt idx="85">
                  <c:v>2</c:v>
                </c:pt>
                <c:pt idx="86">
                  <c:v>1</c:v>
                </c:pt>
                <c:pt idx="87">
                  <c:v>2</c:v>
                </c:pt>
                <c:pt idx="88">
                  <c:v>7</c:v>
                </c:pt>
                <c:pt idx="89">
                  <c:v>3</c:v>
                </c:pt>
                <c:pt idx="90">
                  <c:v>2</c:v>
                </c:pt>
                <c:pt idx="91">
                  <c:v>1</c:v>
                </c:pt>
                <c:pt idx="92">
                  <c:v>2</c:v>
                </c:pt>
                <c:pt idx="93">
                  <c:v>3</c:v>
                </c:pt>
                <c:pt idx="94">
                  <c:v>2</c:v>
                </c:pt>
                <c:pt idx="95">
                  <c:v>1</c:v>
                </c:pt>
                <c:pt idx="96">
                  <c:v>7</c:v>
                </c:pt>
                <c:pt idx="97">
                  <c:v>3</c:v>
                </c:pt>
                <c:pt idx="98">
                  <c:v>6</c:v>
                </c:pt>
              </c:numCache>
            </c:numRef>
          </c:yVal>
          <c:smooth val="0"/>
          <c:extLst>
            <c:ext xmlns:c16="http://schemas.microsoft.com/office/drawing/2014/chart" uri="{C3380CC4-5D6E-409C-BE32-E72D297353CC}">
              <c16:uniqueId val="{00000003-CC63-4EBB-B646-A4DC34443697}"/>
            </c:ext>
          </c:extLst>
        </c:ser>
        <c:dLbls>
          <c:showLegendKey val="0"/>
          <c:showVal val="0"/>
          <c:showCatName val="0"/>
          <c:showSerName val="0"/>
          <c:showPercent val="0"/>
          <c:showBubbleSize val="0"/>
        </c:dLbls>
        <c:axId val="505485759"/>
        <c:axId val="505491519"/>
      </c:scatterChart>
      <c:valAx>
        <c:axId val="5054857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491519"/>
        <c:crosses val="autoZero"/>
        <c:crossBetween val="midCat"/>
      </c:valAx>
      <c:valAx>
        <c:axId val="50549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4857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[add-ins.xlsx]Sheet11!PivotTable4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'Region' for each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Sheet11!$D$4:$D$5</c:f>
              <c:strCache>
                <c:ptCount val="1"/>
                <c:pt idx="0">
                  <c:v>Home Office</c:v>
                </c:pt>
              </c:strCache>
            </c:strRef>
          </c:tx>
          <c:spPr>
            <a:solidFill>
              <a:schemeClr val="accent1"/>
            </a:solidFill>
            <a:ln>
              <a:noFill/>
            </a:ln>
            <a:effectLst/>
          </c:spPr>
          <c:invertIfNegative val="0"/>
          <c:cat>
            <c:strRef>
              <c:f>Sheet11!$C$6:$C$10</c:f>
              <c:strCache>
                <c:ptCount val="4"/>
                <c:pt idx="0">
                  <c:v>Central</c:v>
                </c:pt>
                <c:pt idx="1">
                  <c:v>East</c:v>
                </c:pt>
                <c:pt idx="2">
                  <c:v>South</c:v>
                </c:pt>
                <c:pt idx="3">
                  <c:v>West</c:v>
                </c:pt>
              </c:strCache>
            </c:strRef>
          </c:cat>
          <c:val>
            <c:numRef>
              <c:f>Sheet11!$D$6:$D$10</c:f>
              <c:numCache>
                <c:formatCode>General</c:formatCode>
                <c:ptCount val="4"/>
                <c:pt idx="0">
                  <c:v>10</c:v>
                </c:pt>
                <c:pt idx="1">
                  <c:v>1</c:v>
                </c:pt>
                <c:pt idx="3">
                  <c:v>1</c:v>
                </c:pt>
              </c:numCache>
            </c:numRef>
          </c:val>
          <c:extLst>
            <c:ext xmlns:c16="http://schemas.microsoft.com/office/drawing/2014/chart" uri="{C3380CC4-5D6E-409C-BE32-E72D297353CC}">
              <c16:uniqueId val="{00000000-BE45-42F6-AA37-43E960FA02EA}"/>
            </c:ext>
          </c:extLst>
        </c:ser>
        <c:ser>
          <c:idx val="1"/>
          <c:order val="1"/>
          <c:tx>
            <c:strRef>
              <c:f>Sheet11!$E$4:$E$5</c:f>
              <c:strCache>
                <c:ptCount val="1"/>
                <c:pt idx="0">
                  <c:v>Corporate</c:v>
                </c:pt>
              </c:strCache>
            </c:strRef>
          </c:tx>
          <c:spPr>
            <a:solidFill>
              <a:schemeClr val="accent2"/>
            </a:solidFill>
            <a:ln>
              <a:noFill/>
            </a:ln>
            <a:effectLst/>
          </c:spPr>
          <c:invertIfNegative val="0"/>
          <c:cat>
            <c:strRef>
              <c:f>Sheet11!$C$6:$C$10</c:f>
              <c:strCache>
                <c:ptCount val="4"/>
                <c:pt idx="0">
                  <c:v>Central</c:v>
                </c:pt>
                <c:pt idx="1">
                  <c:v>East</c:v>
                </c:pt>
                <c:pt idx="2">
                  <c:v>South</c:v>
                </c:pt>
                <c:pt idx="3">
                  <c:v>West</c:v>
                </c:pt>
              </c:strCache>
            </c:strRef>
          </c:cat>
          <c:val>
            <c:numRef>
              <c:f>Sheet11!$E$6:$E$10</c:f>
              <c:numCache>
                <c:formatCode>General</c:formatCode>
                <c:ptCount val="4"/>
                <c:pt idx="0">
                  <c:v>11</c:v>
                </c:pt>
                <c:pt idx="1">
                  <c:v>2</c:v>
                </c:pt>
                <c:pt idx="2">
                  <c:v>4</c:v>
                </c:pt>
                <c:pt idx="3">
                  <c:v>7</c:v>
                </c:pt>
              </c:numCache>
            </c:numRef>
          </c:val>
          <c:extLst>
            <c:ext xmlns:c16="http://schemas.microsoft.com/office/drawing/2014/chart" uri="{C3380CC4-5D6E-409C-BE32-E72D297353CC}">
              <c16:uniqueId val="{00000001-BE45-42F6-AA37-43E960FA02EA}"/>
            </c:ext>
          </c:extLst>
        </c:ser>
        <c:ser>
          <c:idx val="2"/>
          <c:order val="2"/>
          <c:tx>
            <c:strRef>
              <c:f>Sheet11!$F$4:$F$5</c:f>
              <c:strCache>
                <c:ptCount val="1"/>
                <c:pt idx="0">
                  <c:v>Consumer</c:v>
                </c:pt>
              </c:strCache>
            </c:strRef>
          </c:tx>
          <c:spPr>
            <a:solidFill>
              <a:schemeClr val="accent3"/>
            </a:solidFill>
            <a:ln>
              <a:noFill/>
            </a:ln>
            <a:effectLst/>
          </c:spPr>
          <c:invertIfNegative val="0"/>
          <c:cat>
            <c:strRef>
              <c:f>Sheet11!$C$6:$C$10</c:f>
              <c:strCache>
                <c:ptCount val="4"/>
                <c:pt idx="0">
                  <c:v>Central</c:v>
                </c:pt>
                <c:pt idx="1">
                  <c:v>East</c:v>
                </c:pt>
                <c:pt idx="2">
                  <c:v>South</c:v>
                </c:pt>
                <c:pt idx="3">
                  <c:v>West</c:v>
                </c:pt>
              </c:strCache>
            </c:strRef>
          </c:cat>
          <c:val>
            <c:numRef>
              <c:f>Sheet11!$F$6:$F$10</c:f>
              <c:numCache>
                <c:formatCode>General</c:formatCode>
                <c:ptCount val="4"/>
                <c:pt idx="0">
                  <c:v>13</c:v>
                </c:pt>
                <c:pt idx="1">
                  <c:v>18</c:v>
                </c:pt>
                <c:pt idx="2">
                  <c:v>10</c:v>
                </c:pt>
                <c:pt idx="3">
                  <c:v>22</c:v>
                </c:pt>
              </c:numCache>
            </c:numRef>
          </c:val>
          <c:extLst>
            <c:ext xmlns:c16="http://schemas.microsoft.com/office/drawing/2014/chart" uri="{C3380CC4-5D6E-409C-BE32-E72D297353CC}">
              <c16:uniqueId val="{00000002-BE45-42F6-AA37-43E960FA02EA}"/>
            </c:ext>
          </c:extLst>
        </c:ser>
        <c:dLbls>
          <c:showLegendKey val="0"/>
          <c:showVal val="0"/>
          <c:showCatName val="0"/>
          <c:showSerName val="0"/>
          <c:showPercent val="0"/>
          <c:showBubbleSize val="0"/>
        </c:dLbls>
        <c:gapWidth val="160"/>
        <c:overlap val="-30"/>
        <c:axId val="496788287"/>
        <c:axId val="496814207"/>
      </c:barChart>
      <c:catAx>
        <c:axId val="496788287"/>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14207"/>
        <c:crosses val="autoZero"/>
        <c:auto val="1"/>
        <c:lblAlgn val="ctr"/>
        <c:lblOffset val="100"/>
        <c:noMultiLvlLbl val="0"/>
      </c:catAx>
      <c:valAx>
        <c:axId val="496814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788287"/>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Sheet13!$B$1</c:f>
              <c:strCache>
                <c:ptCount val="1"/>
                <c:pt idx="0">
                  <c:v>Values</c:v>
                </c:pt>
              </c:strCache>
            </c:strRef>
          </c:tx>
          <c:spPr>
            <a:ln w="28575" cap="rnd">
              <a:solidFill>
                <a:schemeClr val="accent1"/>
              </a:solidFill>
              <a:round/>
            </a:ln>
            <a:effectLst/>
          </c:spPr>
          <c:marker>
            <c:symbol val="none"/>
          </c:marker>
          <c:val>
            <c:numRef>
              <c:f>Sheet13!$B$2:$B$11</c:f>
              <c:numCache>
                <c:formatCode>General</c:formatCode>
                <c:ptCount val="10"/>
                <c:pt idx="0">
                  <c:v>29.367922222222212</c:v>
                </c:pt>
                <c:pt idx="1">
                  <c:v>-55.172990625000018</c:v>
                </c:pt>
                <c:pt idx="2">
                  <c:v>30.892724242424233</c:v>
                </c:pt>
                <c:pt idx="3">
                  <c:v>5.8090062499999995</c:v>
                </c:pt>
              </c:numCache>
            </c:numRef>
          </c:val>
          <c:smooth val="0"/>
          <c:extLst>
            <c:ext xmlns:c16="http://schemas.microsoft.com/office/drawing/2014/chart" uri="{C3380CC4-5D6E-409C-BE32-E72D297353CC}">
              <c16:uniqueId val="{00000000-9C9B-4FFD-B213-9B23827C6D21}"/>
            </c:ext>
          </c:extLst>
        </c:ser>
        <c:ser>
          <c:idx val="1"/>
          <c:order val="1"/>
          <c:tx>
            <c:strRef>
              <c:f>Sheet13!$C$1</c:f>
              <c:strCache>
                <c:ptCount val="1"/>
                <c:pt idx="0">
                  <c:v>Forecast</c:v>
                </c:pt>
              </c:strCache>
            </c:strRef>
          </c:tx>
          <c:spPr>
            <a:ln w="25400" cap="rnd">
              <a:solidFill>
                <a:schemeClr val="accent2"/>
              </a:solidFill>
              <a:round/>
            </a:ln>
            <a:effectLst/>
          </c:spPr>
          <c:marker>
            <c:symbol val="none"/>
          </c:marker>
          <c:cat>
            <c:numRef>
              <c:f>Sheet13!$A$2:$A$11</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Sheet13!$C$2:$C$11</c:f>
              <c:numCache>
                <c:formatCode>General</c:formatCode>
                <c:ptCount val="10"/>
                <c:pt idx="3">
                  <c:v>5.8090062499999995</c:v>
                </c:pt>
                <c:pt idx="4">
                  <c:v>5.0168390656904789</c:v>
                </c:pt>
                <c:pt idx="5">
                  <c:v>-0.95357667045331185</c:v>
                </c:pt>
                <c:pt idx="6">
                  <c:v>-6.9239924065970557</c:v>
                </c:pt>
                <c:pt idx="7">
                  <c:v>-12.894408142740847</c:v>
                </c:pt>
                <c:pt idx="8">
                  <c:v>-18.864823878884589</c:v>
                </c:pt>
                <c:pt idx="9">
                  <c:v>-24.835239615028382</c:v>
                </c:pt>
              </c:numCache>
            </c:numRef>
          </c:val>
          <c:smooth val="0"/>
          <c:extLst>
            <c:ext xmlns:c16="http://schemas.microsoft.com/office/drawing/2014/chart" uri="{C3380CC4-5D6E-409C-BE32-E72D297353CC}">
              <c16:uniqueId val="{00000001-9C9B-4FFD-B213-9B23827C6D21}"/>
            </c:ext>
          </c:extLst>
        </c:ser>
        <c:ser>
          <c:idx val="2"/>
          <c:order val="2"/>
          <c:tx>
            <c:strRef>
              <c:f>Sheet13!$D$1</c:f>
              <c:strCache>
                <c:ptCount val="1"/>
                <c:pt idx="0">
                  <c:v>Lower Confidence Bound</c:v>
                </c:pt>
              </c:strCache>
            </c:strRef>
          </c:tx>
          <c:spPr>
            <a:ln w="12700" cap="rnd">
              <a:solidFill>
                <a:srgbClr val="E97132"/>
              </a:solidFill>
              <a:prstDash val="solid"/>
              <a:round/>
            </a:ln>
            <a:effectLst/>
          </c:spPr>
          <c:marker>
            <c:symbol val="none"/>
          </c:marker>
          <c:cat>
            <c:numRef>
              <c:f>Sheet13!$A$2:$A$11</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Sheet13!$D$2:$D$11</c:f>
              <c:numCache>
                <c:formatCode>General</c:formatCode>
                <c:ptCount val="10"/>
                <c:pt idx="3" formatCode="0.00">
                  <c:v>5.8090062499999995</c:v>
                </c:pt>
                <c:pt idx="4" formatCode="0.00">
                  <c:v>-80.931140017450517</c:v>
                </c:pt>
                <c:pt idx="5" formatCode="0.00">
                  <c:v>-88.586845911231961</c:v>
                </c:pt>
                <c:pt idx="6" formatCode="0.00">
                  <c:v>-98.223444319956897</c:v>
                </c:pt>
                <c:pt idx="7" formatCode="0.00">
                  <c:v>-110.36161436243152</c:v>
                </c:pt>
                <c:pt idx="8" formatCode="0.00">
                  <c:v>-125.24710641614995</c:v>
                </c:pt>
                <c:pt idx="9" formatCode="0.00">
                  <c:v>-142.87079452377944</c:v>
                </c:pt>
              </c:numCache>
            </c:numRef>
          </c:val>
          <c:smooth val="0"/>
          <c:extLst>
            <c:ext xmlns:c16="http://schemas.microsoft.com/office/drawing/2014/chart" uri="{C3380CC4-5D6E-409C-BE32-E72D297353CC}">
              <c16:uniqueId val="{00000002-9C9B-4FFD-B213-9B23827C6D21}"/>
            </c:ext>
          </c:extLst>
        </c:ser>
        <c:ser>
          <c:idx val="3"/>
          <c:order val="3"/>
          <c:tx>
            <c:strRef>
              <c:f>Sheet13!$E$1</c:f>
              <c:strCache>
                <c:ptCount val="1"/>
                <c:pt idx="0">
                  <c:v>Upper Confidence Bound</c:v>
                </c:pt>
              </c:strCache>
            </c:strRef>
          </c:tx>
          <c:spPr>
            <a:ln w="12700" cap="rnd">
              <a:solidFill>
                <a:srgbClr val="E97132"/>
              </a:solidFill>
              <a:prstDash val="solid"/>
              <a:round/>
            </a:ln>
            <a:effectLst/>
          </c:spPr>
          <c:marker>
            <c:symbol val="none"/>
          </c:marker>
          <c:cat>
            <c:numRef>
              <c:f>Sheet13!$A$2:$A$11</c:f>
              <c:numCache>
                <c:formatCode>General</c:formatCode>
                <c:ptCount val="10"/>
                <c:pt idx="0">
                  <c:v>2011</c:v>
                </c:pt>
                <c:pt idx="1">
                  <c:v>2012</c:v>
                </c:pt>
                <c:pt idx="2">
                  <c:v>2013</c:v>
                </c:pt>
                <c:pt idx="3">
                  <c:v>2014</c:v>
                </c:pt>
                <c:pt idx="4">
                  <c:v>2015</c:v>
                </c:pt>
                <c:pt idx="5">
                  <c:v>2016</c:v>
                </c:pt>
                <c:pt idx="6">
                  <c:v>2017</c:v>
                </c:pt>
                <c:pt idx="7">
                  <c:v>2018</c:v>
                </c:pt>
                <c:pt idx="8">
                  <c:v>2019</c:v>
                </c:pt>
                <c:pt idx="9">
                  <c:v>2020</c:v>
                </c:pt>
              </c:numCache>
            </c:numRef>
          </c:cat>
          <c:val>
            <c:numRef>
              <c:f>Sheet13!$E$2:$E$11</c:f>
              <c:numCache>
                <c:formatCode>General</c:formatCode>
                <c:ptCount val="10"/>
                <c:pt idx="3" formatCode="0.00">
                  <c:v>5.8090062499999995</c:v>
                </c:pt>
                <c:pt idx="4" formatCode="0.00">
                  <c:v>90.964818148831469</c:v>
                </c:pt>
                <c:pt idx="5" formatCode="0.00">
                  <c:v>86.679692570325329</c:v>
                </c:pt>
                <c:pt idx="6" formatCode="0.00">
                  <c:v>84.375459506762795</c:v>
                </c:pt>
                <c:pt idx="7" formatCode="0.00">
                  <c:v>84.572798076949837</c:v>
                </c:pt>
                <c:pt idx="8" formatCode="0.00">
                  <c:v>87.517458658380761</c:v>
                </c:pt>
                <c:pt idx="9" formatCode="0.00">
                  <c:v>93.200315293722667</c:v>
                </c:pt>
              </c:numCache>
            </c:numRef>
          </c:val>
          <c:smooth val="0"/>
          <c:extLst>
            <c:ext xmlns:c16="http://schemas.microsoft.com/office/drawing/2014/chart" uri="{C3380CC4-5D6E-409C-BE32-E72D297353CC}">
              <c16:uniqueId val="{00000003-9C9B-4FFD-B213-9B23827C6D21}"/>
            </c:ext>
          </c:extLst>
        </c:ser>
        <c:dLbls>
          <c:showLegendKey val="0"/>
          <c:showVal val="0"/>
          <c:showCatName val="0"/>
          <c:showSerName val="0"/>
          <c:showPercent val="0"/>
          <c:showBubbleSize val="0"/>
        </c:dLbls>
        <c:smooth val="0"/>
        <c:axId val="593695391"/>
        <c:axId val="593701151"/>
      </c:lineChart>
      <c:catAx>
        <c:axId val="59369539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01151"/>
        <c:crosses val="autoZero"/>
        <c:auto val="1"/>
        <c:lblAlgn val="ctr"/>
        <c:lblOffset val="100"/>
        <c:noMultiLvlLbl val="0"/>
      </c:catAx>
      <c:valAx>
        <c:axId val="59370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95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Sheet15!$B$1</c:f>
              <c:strCache>
                <c:ptCount val="1"/>
                <c:pt idx="0">
                  <c:v>Pop count</c:v>
                </c:pt>
              </c:strCache>
            </c:strRef>
          </c:tx>
          <c:spPr>
            <a:ln w="28575" cap="rnd">
              <a:solidFill>
                <a:schemeClr val="accent1"/>
              </a:solidFill>
              <a:round/>
            </a:ln>
            <a:effectLst/>
          </c:spPr>
          <c:marker>
            <c:symbol val="none"/>
          </c:marker>
          <c:val>
            <c:numRef>
              <c:f>Sheet15!$B$2:$B$11</c:f>
              <c:numCache>
                <c:formatCode>General</c:formatCode>
                <c:ptCount val="10"/>
                <c:pt idx="0">
                  <c:v>456</c:v>
                </c:pt>
                <c:pt idx="1">
                  <c:v>678</c:v>
                </c:pt>
                <c:pt idx="2">
                  <c:v>874</c:v>
                </c:pt>
                <c:pt idx="3">
                  <c:v>798</c:v>
                </c:pt>
                <c:pt idx="4">
                  <c:v>864</c:v>
                </c:pt>
              </c:numCache>
            </c:numRef>
          </c:val>
          <c:smooth val="0"/>
          <c:extLst>
            <c:ext xmlns:c16="http://schemas.microsoft.com/office/drawing/2014/chart" uri="{C3380CC4-5D6E-409C-BE32-E72D297353CC}">
              <c16:uniqueId val="{00000000-FDB0-4EFD-B13D-2EE07E5D11F0}"/>
            </c:ext>
          </c:extLst>
        </c:ser>
        <c:ser>
          <c:idx val="1"/>
          <c:order val="1"/>
          <c:tx>
            <c:strRef>
              <c:f>Sheet15!$C$1</c:f>
              <c:strCache>
                <c:ptCount val="1"/>
                <c:pt idx="0">
                  <c:v>Forecast(Pop count)</c:v>
                </c:pt>
              </c:strCache>
            </c:strRef>
          </c:tx>
          <c:spPr>
            <a:ln w="25400" cap="rnd">
              <a:solidFill>
                <a:schemeClr val="accent2"/>
              </a:solidFill>
              <a:round/>
            </a:ln>
            <a:effectLst/>
          </c:spPr>
          <c:marker>
            <c:symbol val="none"/>
          </c:marker>
          <c:cat>
            <c:numRef>
              <c:f>Sheet15!$A$2:$A$11</c:f>
              <c:numCache>
                <c:formatCode>General</c:formatCode>
                <c:ptCount val="10"/>
                <c:pt idx="0">
                  <c:v>1990</c:v>
                </c:pt>
                <c:pt idx="1">
                  <c:v>2000</c:v>
                </c:pt>
                <c:pt idx="2">
                  <c:v>2010</c:v>
                </c:pt>
                <c:pt idx="3">
                  <c:v>2020</c:v>
                </c:pt>
                <c:pt idx="4">
                  <c:v>2030</c:v>
                </c:pt>
                <c:pt idx="5">
                  <c:v>2040</c:v>
                </c:pt>
                <c:pt idx="6">
                  <c:v>2050</c:v>
                </c:pt>
                <c:pt idx="7">
                  <c:v>2060</c:v>
                </c:pt>
                <c:pt idx="8">
                  <c:v>2070</c:v>
                </c:pt>
                <c:pt idx="9">
                  <c:v>2080</c:v>
                </c:pt>
              </c:numCache>
            </c:numRef>
          </c:cat>
          <c:val>
            <c:numRef>
              <c:f>Sheet15!$C$2:$C$11</c:f>
              <c:numCache>
                <c:formatCode>General</c:formatCode>
                <c:ptCount val="10"/>
                <c:pt idx="4">
                  <c:v>864</c:v>
                </c:pt>
                <c:pt idx="5">
                  <c:v>979.72371447223577</c:v>
                </c:pt>
                <c:pt idx="6">
                  <c:v>1066.4610009803218</c:v>
                </c:pt>
                <c:pt idx="7">
                  <c:v>1153.1982874884077</c:v>
                </c:pt>
                <c:pt idx="8">
                  <c:v>1239.9355739964935</c:v>
                </c:pt>
                <c:pt idx="9">
                  <c:v>1326.6728605045794</c:v>
                </c:pt>
              </c:numCache>
            </c:numRef>
          </c:val>
          <c:smooth val="0"/>
          <c:extLst>
            <c:ext xmlns:c16="http://schemas.microsoft.com/office/drawing/2014/chart" uri="{C3380CC4-5D6E-409C-BE32-E72D297353CC}">
              <c16:uniqueId val="{00000001-FDB0-4EFD-B13D-2EE07E5D11F0}"/>
            </c:ext>
          </c:extLst>
        </c:ser>
        <c:ser>
          <c:idx val="2"/>
          <c:order val="2"/>
          <c:tx>
            <c:strRef>
              <c:f>Sheet15!$D$1</c:f>
              <c:strCache>
                <c:ptCount val="1"/>
                <c:pt idx="0">
                  <c:v>Lower Confidence Bound(Pop count)</c:v>
                </c:pt>
              </c:strCache>
            </c:strRef>
          </c:tx>
          <c:spPr>
            <a:ln w="12700" cap="rnd">
              <a:solidFill>
                <a:srgbClr val="E97132"/>
              </a:solidFill>
              <a:prstDash val="solid"/>
              <a:round/>
            </a:ln>
            <a:effectLst/>
          </c:spPr>
          <c:marker>
            <c:symbol val="none"/>
          </c:marker>
          <c:cat>
            <c:numRef>
              <c:f>Sheet15!$A$2:$A$11</c:f>
              <c:numCache>
                <c:formatCode>General</c:formatCode>
                <c:ptCount val="10"/>
                <c:pt idx="0">
                  <c:v>1990</c:v>
                </c:pt>
                <c:pt idx="1">
                  <c:v>2000</c:v>
                </c:pt>
                <c:pt idx="2">
                  <c:v>2010</c:v>
                </c:pt>
                <c:pt idx="3">
                  <c:v>2020</c:v>
                </c:pt>
                <c:pt idx="4">
                  <c:v>2030</c:v>
                </c:pt>
                <c:pt idx="5">
                  <c:v>2040</c:v>
                </c:pt>
                <c:pt idx="6">
                  <c:v>2050</c:v>
                </c:pt>
                <c:pt idx="7">
                  <c:v>2060</c:v>
                </c:pt>
                <c:pt idx="8">
                  <c:v>2070</c:v>
                </c:pt>
                <c:pt idx="9">
                  <c:v>2080</c:v>
                </c:pt>
              </c:numCache>
            </c:numRef>
          </c:cat>
          <c:val>
            <c:numRef>
              <c:f>Sheet15!$D$2:$D$11</c:f>
              <c:numCache>
                <c:formatCode>General</c:formatCode>
                <c:ptCount val="10"/>
                <c:pt idx="4" formatCode="0.00">
                  <c:v>864</c:v>
                </c:pt>
                <c:pt idx="5" formatCode="0.00">
                  <c:v>767.58800965881346</c:v>
                </c:pt>
                <c:pt idx="6" formatCode="0.00">
                  <c:v>829.19112693459874</c:v>
                </c:pt>
                <c:pt idx="7" formatCode="0.00">
                  <c:v>893.12605605147098</c:v>
                </c:pt>
                <c:pt idx="8" formatCode="0.00">
                  <c:v>958.82462692302079</c:v>
                </c:pt>
                <c:pt idx="9" formatCode="0.00">
                  <c:v>1025.916347470099</c:v>
                </c:pt>
              </c:numCache>
            </c:numRef>
          </c:val>
          <c:smooth val="0"/>
          <c:extLst>
            <c:ext xmlns:c16="http://schemas.microsoft.com/office/drawing/2014/chart" uri="{C3380CC4-5D6E-409C-BE32-E72D297353CC}">
              <c16:uniqueId val="{00000002-FDB0-4EFD-B13D-2EE07E5D11F0}"/>
            </c:ext>
          </c:extLst>
        </c:ser>
        <c:ser>
          <c:idx val="3"/>
          <c:order val="3"/>
          <c:tx>
            <c:strRef>
              <c:f>Sheet15!$E$1</c:f>
              <c:strCache>
                <c:ptCount val="1"/>
                <c:pt idx="0">
                  <c:v>Upper Confidence Bound(Pop count)</c:v>
                </c:pt>
              </c:strCache>
            </c:strRef>
          </c:tx>
          <c:spPr>
            <a:ln w="12700" cap="rnd">
              <a:solidFill>
                <a:srgbClr val="E97132"/>
              </a:solidFill>
              <a:prstDash val="solid"/>
              <a:round/>
            </a:ln>
            <a:effectLst/>
          </c:spPr>
          <c:marker>
            <c:symbol val="none"/>
          </c:marker>
          <c:cat>
            <c:numRef>
              <c:f>Sheet15!$A$2:$A$11</c:f>
              <c:numCache>
                <c:formatCode>General</c:formatCode>
                <c:ptCount val="10"/>
                <c:pt idx="0">
                  <c:v>1990</c:v>
                </c:pt>
                <c:pt idx="1">
                  <c:v>2000</c:v>
                </c:pt>
                <c:pt idx="2">
                  <c:v>2010</c:v>
                </c:pt>
                <c:pt idx="3">
                  <c:v>2020</c:v>
                </c:pt>
                <c:pt idx="4">
                  <c:v>2030</c:v>
                </c:pt>
                <c:pt idx="5">
                  <c:v>2040</c:v>
                </c:pt>
                <c:pt idx="6">
                  <c:v>2050</c:v>
                </c:pt>
                <c:pt idx="7">
                  <c:v>2060</c:v>
                </c:pt>
                <c:pt idx="8">
                  <c:v>2070</c:v>
                </c:pt>
                <c:pt idx="9">
                  <c:v>2080</c:v>
                </c:pt>
              </c:numCache>
            </c:numRef>
          </c:cat>
          <c:val>
            <c:numRef>
              <c:f>Sheet15!$E$2:$E$11</c:f>
              <c:numCache>
                <c:formatCode>General</c:formatCode>
                <c:ptCount val="10"/>
                <c:pt idx="4" formatCode="0.00">
                  <c:v>864</c:v>
                </c:pt>
                <c:pt idx="5" formatCode="0.00">
                  <c:v>1191.8594192856581</c:v>
                </c:pt>
                <c:pt idx="6" formatCode="0.00">
                  <c:v>1303.7308750260449</c:v>
                </c:pt>
                <c:pt idx="7" formatCode="0.00">
                  <c:v>1413.2705189253443</c:v>
                </c:pt>
                <c:pt idx="8" formatCode="0.00">
                  <c:v>1521.0465210699663</c:v>
                </c:pt>
                <c:pt idx="9" formatCode="0.00">
                  <c:v>1627.4293735390597</c:v>
                </c:pt>
              </c:numCache>
            </c:numRef>
          </c:val>
          <c:smooth val="0"/>
          <c:extLst>
            <c:ext xmlns:c16="http://schemas.microsoft.com/office/drawing/2014/chart" uri="{C3380CC4-5D6E-409C-BE32-E72D297353CC}">
              <c16:uniqueId val="{00000003-FDB0-4EFD-B13D-2EE07E5D11F0}"/>
            </c:ext>
          </c:extLst>
        </c:ser>
        <c:dLbls>
          <c:showLegendKey val="0"/>
          <c:showVal val="0"/>
          <c:showCatName val="0"/>
          <c:showSerName val="0"/>
          <c:showPercent val="0"/>
          <c:showBubbleSize val="0"/>
        </c:dLbls>
        <c:smooth val="0"/>
        <c:axId val="593711711"/>
        <c:axId val="593687711"/>
      </c:lineChart>
      <c:catAx>
        <c:axId val="59371171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87711"/>
        <c:crosses val="autoZero"/>
        <c:auto val="1"/>
        <c:lblAlgn val="ctr"/>
        <c:lblOffset val="100"/>
        <c:noMultiLvlLbl val="0"/>
      </c:catAx>
      <c:valAx>
        <c:axId val="59368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11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81A679-410D-48E0-9AF3-F2DB170E9479}">
          <cx:tx>
            <cx:txData>
              <cx:f>_xlchart.v5.2</cx:f>
              <cx:v>Sales</cx:v>
            </cx:txData>
          </cx:tx>
          <cx:dataLabels>
            <cx:visibility seriesName="0" categoryName="0" value="1"/>
          </cx:dataLabels>
          <cx:dataId val="0"/>
          <cx:layoutPr>
            <cx:geography cultureLanguage="en-US" cultureRegion="IN" attribution="Powered by Bing">
              <cx:geoCache provider="{E9337A44-BEBE-4D9F-B70C-5C5E7DAFC167}">
                <cx:binary>1HxpU9xItvZfcfjzFa3cMyemJ2KkqqKKzRhj3O4vCgy0dqX27dffR4DdUGZsT7x+44aJNnSVKpUn
z/qcRfXPm/EfN9nddf1qzLOi+cfN+PvrqG3Lf/z2W3MT3eXXzUEe39S2sX+1Bzc2/83+9Vd8c/fb
bX09xEX4G3UJ/+0muq7bu/H1v/6Ju4V39sTeXLexLd52d/V0cdd0Wdt849qLl15d3+ZxsYqbto5v
WvL76w9xc2OLJi5ev7or2ridLqfy7vfXzz72+tVv+zf7auNXGWhru1us5fxAMmMEk655+Hn9KrNF
+HjZ0eZAMWqEMMy9/2Gf9z67zrH+h0i6J+j69ra+axoc6v7vs6XPToAru9evbmxXtAvrQnDx99fv
i7i9u331rr1u75rXr+LG+g8f8O1yjPfv7s/923Pm/+ufe2+AE3vvPJHPPtu+d+kr8RxDKN1NOn3m
0P+7dJg6EBT851LviUUcUK2Uy7l8kBr/vOmDWH6ElJel8vfKPaEcf/wlhfLvOp5tcf2ZPT9BJvyA
GkapJvyB9eq5aAghB1JyYaSQ9xZDPu/9IJofIOhlyXxZuCeYf//5Swpml2VxYWMY80/zZe4BoZxw
IR592b7RmAPCtWRCiy++7mHvB8n8CEUvi+bvlXuy2Z38krJ5315HP08uzBwwypSSVDzEEPqCxShN
KZXy864PEvkeHS9L42HVniTeX/6SkvCvs/gvWxfxz/Rg6oAKLqUh5kEe8FBPYz4h5kASRRXh5DMm
eGonP0bTy7J5unZPQv6/fwkJfRuYPPVlzz75X+Iy2IxwmVCugEk8FY4xBy7RjDHOH4S3bzLPgdJ/
pudl+ezhrGdH+DVQ2IfrJgIsb+3PRMnqgBMCcWj1csyn7oEQkmuXk5di/o/R9LJEnq7ds5gPv4bF
PKMaacwms3V8+xMdGtUHAikKocw8NxZND7hWjFP9cvbyA5S8LJQvC5+dDUf7NeP9ma3b6JV/XVtg
sp8oGCYOBDNMCfaIyPawsgIi04JpKR+gsrvnzH6crpfFtL9+T1pn/i8RcZ5RDfu5iusw/tmIANZj
XG0egwp7bkdKH0ijlOacPgQd8Ryn/QhFL0vo75XPTolD/pq+7fJuvP6JKQ0jB1wyzTV5iCsueS4Y
oAFAAQrZ0IfAhJTnKVT7LjkvS+Vx2Z5ILv/4Jc3l7O5Tfd2kP9GtcbKUZciS0jyYw15CA6lo4i4i
0S+ay49Q9LJg/l65J5uz9S8pm9P4JorD658J1fiBVlwZpR9zl/0igEBB0zXAcY/X90LOj1D0smz+
Xrknm9Nfs5x5flcUzZT11z811HD3QBvkno+W4e57NKUONNMaHu3vIs5Tj/ajVL0so+er9+R0/muG
nHe2+/8D3tiBcZnh9HPs2QMFepEkdxGaXrakH6frZVntr9+T1rtfE7ydxkVx19j2Z4YjecC4IZx9
Nqp9kMAPiEEGhKL1c3TwQ7S8LJwnS/fkcnr2S0ai1V12PVzXd5859BMaBajUuBpVT/Z3uflpJUcJ
YDstOSP6Abvtgeofoehl4fy9ck82q18TJeyK2/j6p+al5mAJ/8p8bnru1w0k2mtEu9I8Vqz32ms/
QNDLkvmycE8wu1/TaM7uhlcfbZ3+PKPh9MAwQzmSmgfovBd0YDQSV4T83H3bg28/QtHLovl75Z5s
zn7Nxucl4Bv67Xc/06OJA82R1bj6Eb3t5T16CUQMvQX3sbGwF29+iKSXpfNk6Z54Ln9N0/l3dv3p
Ov+JKIDRA4W+M8Ugx4uWA+Fo7i529VgqgM97Cqx/gKCXRfNl4Z5g/v1r1kLf1HfhT+0dAEajwom+
8+Ooxl6sIfe9A6BoBtj2VCDfJ+RleXxetyeONxf/N7jsPw/cfJlLWl231+v7gaYnMzffvnp/dMxZ
7S19ZOCL4O2Bt7vb319TJgmY/WVQarnJM9bv142/Wnp33bS/v3YWCCeoVJgqEArt66VZN9zdX9Ic
TW8iUU8lHI0hzlCHKJYy+++vmTwQWhOmhV4w+X3Xu1mSOFxiMNIFEKKVIVyCuawvE2XnNpugmF/Y
8vj6VdHl5zYu2ub31+gWvn5VPnxuOadYsgLKmFFCAs+4TCGaljfXF+iP4ePkf1Q6VnmdNcl2bHVU
esSkkVrNTVgNK9rXZly3felaT7sqkruATiHfFbQw2pdz0xU+HWQybtg85unaChtWWyezZKi9si9y
13Mj1mCETeiTKYj4rrQtObMi47uWd4R6E02qj1kp2a6PSZB5Q5I5mZdm4+Dls9EnJgrsx6LR5cfS
nYN63SdNXHpDQfQJiSi/LuqenOUmdwofE2tSep2lujykmYrqdZM6yxIW5LmfJvF0TqvWXHWMYOOh
dJ3Yaxs9XoSjMFd5TMaLOqFsF6R5HnisHFX9JqRFao+sqK0+QvW7uW20Sy6zIk9Dj0SF45MizGK/
5NN4PmUj6/y0MzhGaXgtPUrDeuvCqC/RExTXio7jubVOt2V9xN7Pgx7PC2brbcNc23gyb8hZSCuc
v1RhcJVITMf4VRWXjadM0jSHpZmb26SOwYGCW3oZN1n5kQWV23sjq/ExPhJ7nFshrqcQ67wuBAGC
DKB2yLCby0J6mQSRzf2OyWj2pBlxap5iT52y8mOWuDi7ycTce93gsjPJ4/y4iFR0xlInOdF9QLx6
iMfTJIj7HbMm3RWxwhrlLPyUY5CEXj7mjlxBr/HOg0AzN0zrVRgH5op2i4T7qRvPIdKm+UNOdhpP
hjKYyGpMaZKv3CZL47dOTnEEOyW4S9lH+K2bLJt9kXXgy5A4oDEanSzwhok7wleOCuPDqs1Fvy3T
PHI/1LLhbJPls2O9fpj/ioIOnHD7wlxN2XDRzo3YTEUkuZ8FcXA10yZ5q3puuJeNleOXJKeXBYcC
jtGwaG0ORU9H3gWbqQxxpzmg+K2iALRFixK1LhvPIzngtWp7aAOtG0jWsFaxtZkE22lOOn6aKdVW
fhk2UD6HZtEq6ClMTw1le6u4GcK125bkLBoqGKEyIwRsS+1ST5uwkV6alMV0VCQmjf3UZFm+7qGi
0iMwyxNbGsm3KgnYzkl6yvxpYKA7nrt49vI0GC+YGxaBVww5NCYgXXM7jhxbFrMD2fWLnkxmLD92
i4g0a9kuF135UZMGN2srNz40gpq14kV8OPW9WZeclB/rMgmu7lU4dhT4mzb22C7GnixKGsh+vBhY
B5YMNJzOxxCmkM/UHvMoKdINldxcoYcBxrW2ZMwvMw2F6ZRrj7NC4u17k+iyMj6U8QTmTVEHYbtw
HDGJq4+zquttJco8WslOkks+2ODKSdze8comiayXVGHuZ7WCcUo7mfVMdXyYRWLovSHOcRw35ru4
GSHQyp3wKcBbKJjDYORN2oM/Qc3JZU9bnNqd4UHQB2M7FVlzMtjMnMyVhAjbeMIdbEmS2cscXWu/
U03EzpOqD9XKqZsJ/jSczcrNSrWVonY3bpaYE1GNzooNkVN7o01xXjbW4bCZm6mL1gZGEXi0zkHQ
zOCxcmqH6GJqxvI0TDqzjqcqPmQTbDk1cM+6SB2zzkmG+3CZ812a9nqVtHAZrhuQy1aUHTiY8/Gi
hKLHHo3S6mPqBtXWkCY8DNqIXioGnZdpNgQbHSX1/K7BiDDfjh1cJJtx4DFNoVGOoRBURh1yGbjz
XB6FVolxzYo8i47yIIkPE3eODztO09nvB0gpiwN+3cQUrpkEE3QqACbtvUnOEGvdZOLaHQwsfCwI
uay6iVwmYhqmVVrnrPBy10JfSNOatS2gpYPpYRG5rMhZbA25zHMCepK8DIN1bxbNUSSz0xFPatye
hkFzG6Y2PowjAe022IItulfHgiTHvOzqbUeUW23udZ5TjkVuizP7tFr0v1OSnHVxb64wa6BwTndx
e/1AqvZtX4l03LhxA/9WN61eZRFb9NFMjfbLSpsrh80Q5INLSxoS56tSDVAlEei62yW6qRyv6vlQ
r0vikHMuYV1ZlprE7wawl2Xj5t7i8l7zq6FoR+KPlaijzb1ntTYi8nCIdHVFYlYUV0MYTukHMTD4
iYwvXor0Q3zIo1Zcm2ww66Sr8rck6qivw+K2iEazq8tyCQaVuwTnIIQHNtlMzoZZwJFlwA+dr60u
iTdGUUGiN3SKpi3cD8uHFQk7QAgPCMUSX9rZHOdF00YeVcEYgiWxyd7OSXaXuHGmtJ+1TniFUFpv
i1bkEFHhwmrSboSvhU3WqwguxnrOQEXis6qWt7bIr2xI6iMTjJ07eJMeRuAQVl9SrnfWLIGokUV2
GU9heYwYo89JodwAttuzTV2x2KsIac8wVmWPMY8f+r0Oo/exqkTmTUXwZ9XStUNtddK4Rvh1q3xX
JbABr8tJ7gzbtp12TdSVxyoxdR6cuxG3vjHth6LqNmXZVBtHKnNe8t5LcnURUC7cD5PMSgdxwuYy
2BFic3jVBBaO8bvVzNyOrkq3zFdU0rnwVdOK0JMVT/zS0nxLSBVGXsxL7Ts8ZZu0oL3xVDxv3G4c
jkQSpanvqGHqPVqU0bSZ5JSprYFa1n7YdGIE+yNz3DI+v9Fjq46axCDMxWO1jUenbL18IO856e2p
48riTTyn+kjRANpLOEBJpO061EkZeW45Ui9JVXdcj717qljoMq9xxHidcZu8n1T+nieqyk6yquFv
qzQq1k7bDNrnc202umf9X81Um0+RbjOvGQz1ZijZuhIqXul6qjeTk5it21f9ahrbfJ3rcox8zpPU
61iTnOo6SqZT8EveJq0uNnM3BIjjsbsO4+G9MUm5SWNVH6pg+LMPRl/EifoUVuN0EYmpWJGsohuW
qsSjrajfNi7YKk0h12LMx5uko5dOogKPDE1zquNofpvPk/Ct6vKNnRx+GJhenZQm5uuwai4r0zmJ
V0sgo3WTV/a0nQO4qDQHPhmich0CNxx1eU2OaFM7W2Fss0tNx08sm10fTCvWfVqJd6O01hurSq8d
M6deAo/lQUPSc14lKwXU6cwpeYMgMAHy9cUm1I7cZTWb3oaW+axgxZY6TX2olwjBprJfjaHptiKF
wJp4cj42wVitkrI2p3Mi3nZxTldtUbgXaZ3oEztl7Xs6Uudkysus8hytsG4Adv3U9pkBLqF0PmrH
ojpM4tb+kQC+A951eR9Dv2l6SetAb9XAnDNXVq6PyKtWqeabTolpk9g03w2uUtdOmv8xOlWaeURl
ud/XdbNxFNTGm9TgetPcdodukEa+0Gnlw/mHq1lkCERh1O76QtyWUcjXtCWDT0o3W7wV2U1Jza6D
2i2rVWCb8Q8g4jXQdQ0kGLvFakrddN1WXF4GFTwKPH+dr2NLYs+Jqdq6zcgO8yibVg2dJggtI8NJ
1DmKeCXrEtPBkegavGuFe9EPaUbWocjqCVi8msfkIg7I2HkkyXm2VXPTh7dw/uEmSmi1mjUpV4HT
F6UfRsFcezZkwWErIweOqY7lVqfdcOWkDdUIewGVXtyRaFWXLTKQqForWdvTuIFdxKwdrkqps90s
p8gz9ZRu5rmd113k4mWi4o2kmft+CEcNFWe55c5RLBbgB0eax+bGGBaehFV+FvVt88GJTHec1/pU
pkXjI3gF7/KOun+YoZG11yF3aY/SqpriD40sO3eXp9K0R05FZtpt4bXMBqNcXTWsE+IAOYVI3II3
QWsGoNneIg0RsdUfgyqDUw+SZCgnuO/JNYEnSD2zQ5UkdhY+zbjjemHjuEPoh8Lt2Ecd5Yi6tEsm
6etYs3CjhkDkx5Vb4/3UAnKtXJG3GtpDTb0WHTBoVEdAW8XQAIjIniM2xVWZTUcumceLiQ7kElg0
8/NqACw3DvDZk4z/heQZ+fl+6iyQ2FMk0MskNF2uP0mduyjI4rKNk21gTVavcmvZ+GHmc9f8wad5
rjY8N0AjthBZKr0hRfD9NgEE1dJ9CjRDnZtwpTFAT9GEeErBEEliZ9qGWzEaHXpB0YTxqjMkoGfE
aaIQYDMoD2MWR+FxWwZzsS5lE5yFRUsutduRM25ToMpvU/UCW1DOYsIFbJccc0fPiSpYF9go4eG2
cAD9qhHRfz3GFpi0R3LstzEF8unyGeDI6cMStfUvZZgXhEJQUNnnyVJNW/4BghPu7m0/qbQr+hk8
mTKkQgmpphIRp9J5AoFEk3CAogfNLlMVODuywO+CZzw57nlV0jdcTn06e27ahtG2XTLosgqL5K8m
EMhhCgZH+x2CvxaiUIoIhaaG6ypM1T8nuDdh7DBHZ9si6PPaM9PYNX4k0xKgCUOtlV+UebGWY1Nd
5zydLqoWtYoqQi4f27G+yIsKffBvsnCp+TyvCUlgIM4k44oRhOHnFDmicuYOuGFbJw5go3TkeNGi
JHXVoMTTeNpZ0t+B0uaWE8V2ZY/8ohhsnR2SGiHZb5pyycHA2W8Txl4i7P7BKamJdMW97J9YnOrd
ss7rKtqWMgRCDS1yr84zw1CrEaiINcW7Mso0300WsHU1MtukRz2n/UXHe9N4UT+YK9edkC3ze1xM
WqSxTowkKuQz4HscNsDcgV0w/FLrKYwLy3byANWSVNVjdzqhgnf7kJTG+TBedPNSBSimcryIgjhM
vD6Zx/MFx13HRQrdmhudpp5QJTKgb7ODYjZ2X054BoNLgroBHvPjew4oIk4VT71yDlkk4AOpnYvo
SHdLqlOMoB6O35xMVPfOu4LOKJ6MeQSyprib341GglshI8hOxOxkfpJx/C+Yhd+jQqVxfV8eYrRc
hF0nqNJ0QxfGWxuiAubHquzDddhX9XaecuwuaIrijUynHhqChOD2/rCPtd9Hw34oXd7YEnEQwX3v
5b8ubY7/7h/Q/PKZ+zLv368wYvXwHO43P3V4Z5fHh5r9Dy3UfLkXdn+kbqn+PnvxVSn6PxSbHx7r
/Q8Xn1Wib54+zPq5yn9fieZw6l+s96s69N7TGE/K0Mu6xyK0lAdGMYYKtEaLAS7xSxEa3ubgca6X
CTzxo6FCjzVoRQ6YgP1LhsIwRdn4sQBNNLoVVKA5ThD1DBTwvylA75n0siPaG0YShNDFZ+8H0Ywk
dYESpbjTJGhhh7TkSEF9t+zjGVl2V6bXHKiu2RTV1Ex81dJRRKPv2MD9FBY1R4HG0jFVRwY4v1ul
ximq7WDyrDnNRF46k2fTUZSfRNomo105UmYJ80OlOLlTo526iyyCul9rLcrghuWskmehBJBgXk6W
ZN7npajzNxFx26FYhZmoU9QlB5HnJ0RN1eI6UHWYjinqE8lfTtPDeXzH0J/bOSzbRb/b4OmRZSwO
7NoL84rkcRchF7sLBlsk1bYF7OTbjPdNrbao1bfx4M9xiefEMjdAaWXzRKMeLe9pk2APZmB/pdAY
QMtdM0gKxDyPB3PCdCNdGd8mJF2qCa1lggGAGupUyaYeh7BuV3XUhjzyHO7MZXE+cDY11Cd8lgM7
AvgtmtSztmI1OTNCo5ryHR49D/tcoW/J0GQxaNwAD0Etn9M4RrFDo5o5t9Kpe5euwlmFqtogGLTM
9Yq6lfLPVLhBu/s2c/Zks+yLkjBaO8A7GKHa37fsJqusw/RtOEHnpIcQlTV/RDygBdxmEnfxmyLA
lwm0XhRZdHq8b2+P1uCTELAcGwgUz6xSwwWej1QLW55ExFD0seOOEbtFQqUqhkzGleIahuS0OzvH
KjuLHWLJKUurqXuXNihrIjWM4gxM+TYlzxtJoARtLq6FQKNLghtsTwCtjN1kSovgJjBzIepDW5V5
MK2dIG/MdDghm4JUvr3l14fXCuNREl2y+znEPaiH7DvIksmtb7kcYOWbiciZpBtRD13D17EOuPyz
RkuIVkjnMKr9p3Un9LTWfWzdcviOIpDn4GRhgHEx27AYKtNwZXvUhAYptilb51MU1yp30FBD2hqh
HWIjfFdBNyR85n6cNxMtvRHtPVAlYjfq3uWlTCa/cEhdvDN5lNfFqhK2phdItIvm07d59hydc4Uu
Mr4TwOWoT8KHo7r5XGFQNdFIqebx01i3NZTA7VIXzHLHgQEZjzUDWChpWi1G0w52+ROXYfffMosQ
9EQlw/wUupkcru05GbqiTTs10n4qMuHAhyfwXvOAxpDbTuKYBQJ+vwm7Or3OE1HAo9Ylyiliq53E
6VOviuBtF88/RVhVxHPWH/MxLdHa+ja7yL6OYXSVSYUOrqbLo5bL1yw8NbCRDUVpipl9apCpO/k6
aZsy686ruY3Lwh+qCR07VODyHtfsVOV2Wul0npx3Q1kGu8bUWRL6+Ty703EeVUWL1otxZdD6nXCd
7ELmJpxzH83eES6ROslEiiN3NuiS+WkcoAX0HTMlaGM/8xgUcNFII9F5FBL5w57HgGYWVV/05Z9K
WJEIv3S1gCoGQWdM7ZNZOXDtwfTgPTNU7qulMgB3UpJA49I4tExWm25g3zdovu/FKdCGgSGhB4v8
7Su1SMe0Ada25Z9lDSuq1qxBPemUkohNx6zpJrDDBH02X+XROE3K66J6qCIfDn+QF2E1B862znky
X9VO18gzHcsFIIy8zzNzmHZiEY9tmIEKATiL/qKsk3S+mjOZDqnnZtkStFCodiAgW5gIbzJg1flK
5+MI2TGRTPjTzG6ICn8pGtZspOoW2aH+EwNgVPfbIxt3psHTdkxwC1TmXVAeO8WCDdpS5On1iEp1
VW5MX5P+HWd2bk/qOg1qDw29mua+Ewb5uA05guvHQhcBv+rdnkDJFMpfyV99VaBT9h3d2Hfh4L5C
QQ4PD3MlBdtPr1gwFSExZfbnTPKmDr2RugpdwsEmNtsthR84im+b1743QvbCXUoQt5cE5qsdm9pt
oiFnw0c2d4syDh1f3B9tVIrgLdFTkX8GCZuhhAPt2iY8VXAs0NNvk7HA2WdGwTAYRZcZCIHhJw6U
/NzKZ9Z3lWNkfpXzIm8Z2pCdcO5sFVXwRlHaFGRdB8rG532jQ3icMsKsAyrjLe0xG6HUkPVeS8Pq
OAu0fId2fKYnVLmJ7C9a7bho5It5RHN+HFG4S1weoLPCA8ygwNgjF3po+wjoYhckabtYfs8Fe4PB
EIUSGktrNvbfKx3t+TU8H46OMQZL6JITfF0mSWUQFUPVqPd9V7gAsaKuKUBsPy96i5ST821EBtSm
vTE1DH/C9h7ZOrJcVBpF0oEG7wJUsEEvreI5r7dxSdniIqu5ccmmyvqyiQ9nMaWwumDIF0xNJp3D
OhU6Zt8rpNA9z6aBgDTCJrwaJIhHEvZcdYWu42yTgr7XbcRgW20ZLgS0DusW0723Y5RgJtAWYHQA
Jg5fubiUuqwQaJyIAMaTUSxv2SrFA2MZaqx8Gw8YCKi8ahqsPFvKydNxjLkW3GYKc9lsUkfVbFNq
dJka9NuLEsf9jn7uoUwczRA8pExgKq5Asr93tHZMUTrv7PSehf3iqdq6gmohpY/tTevqlBbe1Npq
vlK0WOJj7lgCgYwyz8JpPeeStOHGMKcb3gOl1mDHoBIG7WP9DG9SxI6BivEhKxfv1sFtbmNaDnBr
LRAJNozbwMUr5FgErMhDDla0rYqcdpnISGASEfrUePXAn8UVLs/bfUlsX0hD9mxUAy4AXSkqNNJO
9yuoS4YZtTlZOZd9riy8wwO8pZEe+9RHZhmFxffcwl44WrbkSyETgwT4B9T03C24iQWExCjQZdMR
aEg7tS0UCrEf/OFJya1YB4NjR3TKMjaB4VkfFIAscHrg0lCPWXuuZKODZBO0XMMZwCD7ixoPASAC
5A4MH+0VBKpHsWHqqgArx0wXsBVY0SKOMB0XQThJjBkM30yJ6S9cm1tQIpYm/FUq2yVP/Ta3uWHP
fSIOvwQBOAmCb/n4OqMCHGyc0B2nyyhCDzPw2g4zQn4wuEFyhmYlr6d1FdWy1J6h1CSRV9dVXB25
WcdG4WEWo3KO6zB3+GmQR4r51WDH8AbNX3c7BB2Xq1QVNrvlSTajimlljm9Tm0k2vOE9ccd5pZPC
iNKvgB+bbjMMQvdnqP0Fo8WwlJuTE+bWxKyKojbET8a2q9FcH3U1J15U9DUf/XBMexhDP9fDlHmj
IxKebAzFDM47mbUTD313JChqYbRqiEgA/BaE7a6NFJCZr+ZsmGektVDFcjemU9B5VVMmctMbFbKV
yJ1xvhykpfFVx7MwWDHeUuJPyE/t5MmwbczKxHRI0ePIwq2irF1V1h3m48AUrntIBsywbUKn0ZG7
LlOb8/eT6MPUeW+sO46XYzuy9tRp2sK5QMRQ3S2mfGT9flZ9WFivtJZEzVszzll6GMSobmxmy3Vu
PZNaRiNf1TOq3p9InujiNqKl7ccVVGWq7kzXDoPro7PdkGTbBkUl9Ap5gMjkYZA7qTwzRDlpetjL
kjZZdBfpgrXg8oiRxZqfzsz2UOmZ1E0ZvcUXx7XSXRcFL0u1QxMpjrKTQoxpFa6TPmyH/mQQmCWI
N47lNpYXoq1ru5MJj0K9ga5IlmLEa3YR1rNGx4PxQofLql1FQT0n025AqyiKDzEUgGiDkaeBw8H2
ZdyJPzBOJ0Wzg3IMTuAPDLAFAxolUJfx2gnDMvJNRpXCn/bhTSeOMfrguQZZfe3PtuHVp7mrDO2P
ElmXId2S0XGU8qdEpJ06HIuE5JkneL/ERVc4MY4TMoGgcj0GE0at/URERoRvpqEcSnWeBE4yZBuV
MoeWu7SbjO7fyISJ2HiVMUtNQtWtiNIrTPkFznzMedaAU85UwWWfwmtXkTh2WFCr7ASzTTHJztFK
S3SwHhI4gnBtY8JAO1zWQtLUO5lL1+hnT3G1css0qVGMb11HFH9QDDBivzzJjHnfhbrChA3yYHCW
6i5GBPEJupK4CegHZPGqCsNmdMWjBqf3y4gUTG6SaFg4xrI2xR/bRC2qyblaXD7v21Ar3wythQLM
BfDGYYvJCHyufDgqZk1msK9KFH4QS5oAu2URWSrSJF7EQ0oeUfGBZOP/EvdtzXHiaru/iCoQEqBb
oLvdbbvjQ+xJcqOKkxkOQiAEAolfvx/irO+bzNSeqVX7Ys9FXJO0u0Ho8L7Pqfdx7imHUqcMbGDw
KIJeZjX9Hfw4R8cB5SMqrWLNIp+ORZPVzAZ4gtSO9nVue9v0GK+g3oZTbTcaufusTfdLbvCk9fac
YGbhE2L80/gmArdPsMRAwLRcmA/wdx1X+9AsS4SX4ojNxhXXsCBtEff4836MiePxDYBbjb9jTg/J
s2RU8LigKwcABKEaVDjh4efsEdvE8ZZpG+w3J2b/YzAsZo0pfta4nG1s/794YhLyhsYEzz+HOnh/
+X8G+f11QAqIvE+JVriAqA/q5U02iW7Mqeljj5seCbS4XV6RuGrCZzTg1cBz9v6ghm2ZMdXQeVtT
nfuIe8HySNaLTz5wZQeM0kJUh5cQDYzNFIA5BPQmMvR70VspKP+wRtMqHN/4+wgOGisI+9r7PdWk
QY8G6UqfrNENBDh7dx6+P9r36ZEI2WF8ICzFbxxY2u0378BuY55C2rN/TE3rBH/phxGa45ctaKid
L7jTeB/e94m0QZ2Iq8RN7u8SNWbC7yGcJ8bsguRov/T3AQ22dcP/DF080PQQhKyX7XkjLHX6VO2I
VnhYGztgTfO22pGPacXzbZaUjG9RUvWYPhNDxYqbN1CVJB+gDNovbiDL/oMuVYYf3S5d2iXLbL/+
3iZVvb5AX9RVzbGvdvqlHuOoim/k5NNovo3f50rTTnxOTz+HnLeLweW4JpZ4E5wAAz681Y3EOb9E
45aEL6jc2mwp9RiAtirCqRL4cGiAkA5Wzp0GttkBMABkg8dU23M6VPtytjhf8XfS26TNjhLFovOX
mE+dG25mOoSQR3ecdmrJxVShz494ZPH6eh4n/EDRyLqrGi3+9GoFiMbCNQJUNALL766LnAVAAfBD
+PSoroblNemFQxcg/LbP/ZVjK2+PLh4JdhioeDqbHTqFI1YdXNALPp0Zx1HlPoeJa7HfVN0wSHnz
E05u56427dHWHfrdb55C0hvf6LbGcJziH2tmHLIOAzaJVYrtNYZiaZ1fRogp1+Rmfr91B90shgii
7k3ijmS1TuyQbGGEXW42dB++yOl91gCv2qf4O36aTXLFCESW7Pc7Nw3BD4MJjtePDaDQIG+6Dbgy
HNKy5zkgC5+o+1hHBq9IfLT3sAuzE+bVO8iyRRCRiKPtRyPIuRLjhvfY3qE3gbYcqOHIqAReKiKJ
1lcp9E59MXcAJtgt5Bj7eprp2gCEr2Q2Y6uME+Fx5k0eO017RK+3D55t4h0qIDaTwOLbrq/w66Bm
cZefV5RnIrisYjKmufK43UHKweK4u0+liJP5kQLG8uIAMXfg62OyatZNJaALeBnyFCBQ8oWCN0RL
jsOQ4+FvATRe4pj0aj82FBP7dDPERJh87yMJ8SmQ6LgJm3i5QEyoRPoooeAKng2KaaAKmx558gX7
LeZXsOoNI9DScL8HofsAmz/ayx2lgt5rR3PB7wyr/gJtZT1Gb9R1SXdNklF7caRkmObgj7WJWicO
ONHijuVTB/w7KLIuSs0rEMlVzh/DamyrqhDMxzWY/RS1zfidL80yEsimMkATJyPtongRkG2Srxu1
BJIli9PBodmHkg81ZZoybiOLWa5aTooFfxmkC6TcYKZc+fNO3p/lqFsAxAVjsd9v68d203XLvv9x
X+27Car/ffE2k9pf0f9A70VL9r9jURjgFb7y+wtFDHQCsm/b79xG0wmNpVyhWhTXbfaRPrRYqPuq
5Gr/l59TFjUldiIOMQL+6R0P37fToCqM8yZOISA3YfZg67Rah3wNe6Dn0LEITs7r2O+rvAq2HQ6c
wBPhB0VZNp/HLcT8piH4hytwy/3KZQOm8cvPD2KG40iDzBgP+71j65t2SyF267Wlj/J9w5LvQOMI
iwpmQ9CNOwg5mcRQWqoKCjuR12Nig2fbMI17nleweMulIdVextXU4TPSpdsvy/5YcMEgcY7kgtl9
kWuy04zQKLh9TqYCnH2Ts3rqlTrUbYfVeHwfEODA+6Yn4dXC+9IpCtrbmsTQq/4L8PWXhh5YDvYH
zGCCzS2J/gYr1zM4BODV5LkehgRXnVaVw2pYYY65jgHdV1C3AHip86UZ92v/l+7u195u/3g4AaHy
2EPR8Pl/aWyNdUOwTimgqvetsQUGjKtAH4CV9M8f9RegCaspTMMQnwXICn8me1v/J4ZqhaYvEygl
/zNHQumGoRi1oPQDQlr22c2hnccP27R4wgM1FI/s5+b4z9fyK4TAYLYHKhTtcWKgwzHP/8JRiSUm
gG/b6pnvhq0vDYv2enyakBB32AaUzv82zn//QFgpARwk8GsBXOR/wRVlbcKoU6F4Gl2Pg6KSOPHP
qZfY5n6u7H++wWgnmf4k3cEdArsNWRqRjESgo/7yga6D8KqfOzRZ7zvGWm87aO+T2DN2dJB4LMcW
SjDzaNfYt6Wy/b6fxwZbQzBtFOfRv1zRrzMdY45WCkp6UKMwCACi+wst5qFFXlMfj0/d+6JaUddh
jTsrBfb1JlsaPIKaWo+VyWMcDigtgnq/kFbHo4VtYERnf2QqHliYO2wtvsBWP+LlWB8Cwn8fk3gs
1nc+S79vs/98E399jHhwNIxDBsYEWSZIbPh1DuPchTTcBcu1hqkMw7n9KIT0xHr76IMMwt7//vNY
iAe5/7dH3/36ealDNUIg0Lv+PPZcVY9tHg7YWYddSV/9V9Aag+oMWQZAFrFxY6n+bTuIVwEkemna
6/uxhCJ5fxqp7LAu+mncD4x/vsF9f/nTNMWEAP0EbSBEKQiIAV776w2ufnON2Zi8SfvASGh2lUrj
L4nBgvm3Jfj3j8Kjy8DgwZiOJvOvW50SRHlbJdXNeymyMKAjmEdkVPjxz3f1F24N7w6FBmRYBKOI
PuBv+rQ+nGvROs2/hS1g6p/LiiRyLxVNrPZ2cs1gjCxCRQ1J8xTOSxyFHUrRqZjj3qUv7RpiE/yX
63qXiPxpwIFhYgig9oUkElsbzMa/DngYgi9Km3o6mY2E9XQgDCp+9AYhJXb4Y9p6EO3FMFXAfHmu
xIYuNocVYY7ULaoISIOqYpAaiNQdocBEwgclWFUNNx41CxuuwjUycr4QBFTY52kcFdoz+ClpPx5U
B43cXIRDmEwKWn8GCPAuhlcxTh74O88oEzRJ8QfRq2h097KqFw4pj12SJgJW00JCcoMGKIVutAug
Zu/Ln4VTGuDX6ly+lzvoHDIcYsmP7fW9BZI/RnOtFcGRgpZ1L0/WhQQotAeSoX/picVwo/RLbHqN
YT/CGwTvNZcGaYvnFuos2ppcTrOKtryfDO+bMtFp19r8P1DMiOMcFon3AutHZQfGb8X4bmO2Fxfp
uMTjGT2PTMhBZwM+Ukl0O8slBIvSVEXn1IQ+DzxD13YvMcpxDvelnznV5zYJgx2kmBYD/Ne/94d8
9VM8ljVk3oCDgQylYD/ytp6zQRSBHao1VPmIGC1GHvjIYTSCcQHSyvEj83zZBljBgFf3JWpT6Hiv
A6waQ/Kx0UDBqxLzHDKHY21gl2kLFaEY/sOjJZ6yC0vcSr5EzPk5u1K1Cv3Yw3whyaHtIehGh44N
zc0wz8CIRA794PFsy9WRzfg8DICYLAVKxohlhaderHeST/O05aDJ1wZdPs8M+NqmDqcTDbt5fUtC
JT2sCBSNAPxfaa/Mpx6IUGBzaER3KvDnHjmCp6+Su0zhPGmPfd0lxKK6/1H/AZDf61ffz/th+D41
uh9Vap9Cm41Kn0Opo/PFhImCxXWCjQ2XQaSEVVgGC/+Iw2XInnXPg+4IP3PF8rqq1mfmG9aWvlnF
qaFLfNOE8XZWcMjcAGEZnlKTkMJxVl/TZu5CYNmL+SgwqW9otStpsfrqt9bo7lMVNkPZ2zDsc1Eb
ekQTDqiL9Ow20+GXQWI59qtO7pK10WVK6xpPNwzMsU0dPbRDYz/AWjWHB3QL8yHzMIthxibqW63t
M4movjU0qG7VMs0HNgEah0CmgnHL8rLma/YI48cIvYFuvjfTKGBdg/jY074vmeDjJduIOnrRg53u
NaN468z3BW379LjiLc8Z+sQ34wZ7gh5DfB+57E7SRd2We94yuCLC4VlTcAZ5B+hogq1yqF5Wt2Vf
u6BngBis+rhmpDmEZA4vyA6pm3wIgviOAj48mnlCjAncOY8ANRvoqOaYf49AQaHPinT0tJC2bo7a
98EhmtT8NC0UQAi2gnKClPoST7BN5EzBiiRSLursU7MQ7s9QRthvE6FtdBisntF+NVCH50vMst+z
maWqDERgLopDJlHSaG4f3RJL9G9quGXTHI1wLtbD17Cd9J1LaXg7JdE+QwXbud1qWS8OZfZ9mMrl
DFQexgwZ16TMsPt9j9YVZsYNTpEa7bwOPq96XH8fg8AVpIm2r9PUDgRKBw1Z47ZNmLl1BxE7lFzG
lnpbpbskthrhZo50c/VRio0YrR4clnEXXxBC3ekL3CvmSLQlt6xTLgcC/cpW/y20QlxphOWzTHYu
AXmGTV45taQl80N8oOncX3VNzWdImlErhqDdqym3EtoMCW9NxXQe2Jh+BWM+5DHp+tMAACMnoZof
XdTLx6n2syzkPFcvY+3HT8ZpRfLRWVeICEbhvMX1gQnOgAVi4bl6K6jL1gdOpror+m1pv8LACW9p
FapXfD/EmGu9RI8c5MZZk91Ta0JxoU0PH2mWuLsWPMQCOoTCfj+LORc2gL21stVdkgVDA9ui5F9N
gGKrzFA3tjlrp/EhWRN5xEafJAVvtvRmjob6AfohaE7W2ryQodenBWbEU6uX5KuJxcuK/v1lG9WW
nUZNPTzFqvrdY0BO9Zxai/iD0D/PhjORGzqCSZbVjACEZTknXOrTiPo4yqt04i+8n/lb7HT8sTVi
eFu2ZfvdYoKXSzqQewrBwynESVGObpyfUfcGOVv75Q7+YfllgwP2FHfwzhY9YO5r7UOKs8xhRwrb
JgNOxWRyg++FEYWe+vYkmTUv0JzFuP6FXKKwj49tEk+IXRDjA+9rcxP5jj8rZbbbamrHg0ux5aI9
V821p+F8MZauD/0kzEeTZfRbLBdsDmT0y5V6hcUDrO1DFM/21pl0PTcrVPfAk7L+JGA+LtG2Q/kJ
OIaft8CIO4Ht7RH26/olA6Tzedyy+SMO/OoGiy2936JghrYqaY4dF+wOzHsE17niXZltvo8x3w2s
f1UwPEhQAw+VGzQcY7oLj2ZFlISeLYUNhm3bneHU3kJAJYFaqOFjFW9cYc9WMO2mMruJwEUWi97o
h2ypYjAGJvgeCAJt3J1ndGs4DNIONXiZWkDt2Z1k8ZLOhxBRV92cd1yLuzXQ1QPQn+4aUN+/drP5
it+pAEA30eukUMG0Nm2vDuENSc501Fz4oMkXGwi7Fl29hveQINmXhizLeKpJF9OC11F6i8gBkx15
qHp+UXWmS/DLdMsX8PBlxjeV5u028yVXseivQwAdwq0PxhRjnYTrbO5GvoCAipyJ1nNPR/UhdjR4
THve6CJxph4ONdfmqa2aRR1ARfv6VjUwRZeB6RmUmkJEwSldpml78llvbH3aS4+w5KMbukFi1Ia1
khcJrMB0RZSicimYsmK5B4rTwldmo+rjmm6DL4awS+4gIxRRuUYoEW9nAATzK4PBMjPYR4yeWYLC
qeohd7pZ5iS9MOLCvv24xV4Q2MLdGHJ7IdjsQqQngKk4jZ3vYQ5eJmafOZwoLZRBVcdNbgJRdXDD
Uu6emxhqHhjbafc4+CjYTmuCbhd23pGEdytvHZJLDPiF+7TDdlpCuLfBp7U1lxYO/wI+RnmZA++m
9kPng4RvMYa/D50qgR8puavHNGHqwzzTNptLnyCtgwD4nwashwy0a2EjT9SBRrar72QN1jhXPeDn
Ypvd2Oex8iCkUtvKm76hDB7bla33sgF8W7aucTdxRaOsTLKwTgHVtSY6y8po0KSWpT4nK1j5ZCbz
NWDcpYVqBcy6KQzCgAiBJb5GOjDfF47SBMEgnpyGQUQxzBo1gdkbJVwdDAU0A5DIrQiwSJ7gcB1S
FGY2801XYCed8YIBJmLXfMMmNGbJodadzlk1Ro4fpIKNqT5o4hA2ch8FS2JfQDIrcdOOGf1aLcuX
baurl6rWXyquWZujTVDPKzQnB5EJcwpxeITYJBIDWi7dbjtPuquJG3tcasMLPeoNeRiQj+pcKaae
Td8lpTGJz23WUOyvy6y+wdu2HdOhA71YOXEP5jMLi8hNKyyYOGzoA0f0wnMKYZMpmwUYFOYDJkwO
nd76PRq0fNQjsmUOU5pWdxNc6892nObqYF21iDPQ7CrNAwVTvBrasST92B3lKNhzL8PowOd6uJWC
BfdEOnpLNMjUoZpAqnO0RSUhAqm5NrWnzRHS5WGKQ7gM+TJOMPcnwxW6xhWSSrMib2VaQ1eMsmoL
mkyLznmkBLStEGra85Tg5g4e4PszAnCa7wJ8POy44P1Kg0W55puX5opTHod/g7yGsmlRX+ASxBNO
nQZWXJ4UFtbw17apoi9ABN0RYiJ+GkKujqlO2wfkZJhiUUn9KezVCzJgAPSicTumRLSfh5XMQ87i
Yfgch8JckIUgXC6Ma7OiAWh7EZrgpqsQyHvjlgJNePwBrnR7Wdao+SbrOP0iRRV9klG83i1glEum
x+EcA8p+BSlA5L6nOZ3HbTjeJ0LEqFuxOe6TkH6jcm/Sfa/2U9uR6W1YsqA5dEkDghYg95Cce4aU
gGIyjZvBgW0DQMx0baMCaQmopZEA0bL7Tk/kra7rWeakwzXkLQKCskLifQvAcpgTtdfsrBJL0hIt
/NIZ1Fqyuig4nn/T6NrqQuo4Dr/g4EW2EQ+ydbkJZpmUs26Dm2Zk5GXXMxyjbZE2h/Naf2DMtW92
yTSOB3Sex8EKqLQGweI7UIrmVnuIXXJToaS5c5PVb5LMDt45wJ9L3iyd+zbPHmsFixJ9mtVAV7/D
voZ/BFO4HPp2iS8AzytIuRoHu+MuZ/0dCbCLOKq0nm+pR/+GgA4m5rITY8AOwaigRUauCXudkaXz
GQ4uV8gpnsouDMbwatc0egbrl3GolVDD5cm81t1pRVF1we7Xrwc31nWLUo6j9IS6JBiuMbJxgsKK
XSHoVcj0wSD5CSkqE7QUtKC1ghVULsdqSUDxKFm0EkWaOext7FIIJJcQ1NRxL7ZPPfKk5AeC9Kip
RFch5B58hBwJXZjIVp0/BSFpe/ohsbHIchmNTfy1g5wV4U9LkLlWHEHkSRfey3pIBl6g23YUKUhb
rSZbpDhwmS9r8GpZl1uozKkv+8ULJW99JgDpFJN1PNIP3QLUKs4d5OfcHo3VY/OpqiQdqnLFUgG9
A5dQ3Jt8ceOQzMcKtVp/tnCPqz+mcXILOyCVoYFnk43gAJ9FSMAJnTQEXHNfGg/zc/vQWi3xHGgA
GZdtobAGNwEDtcHt/64CnoYYx6ntfck1soU+McNI/fwOIgd6J0Lmju+QLYmE07dIj90lBdAx7PwM
1uGWfq+oCF1ygt57w3obo4k3n61Gxkyd9xkAuACdrWjXBEcEtuP51dYAFLK7GQWlu4YtDz0tLCIk
RnnawLrhaeHIa4f2Lc7gr1Ul62br+9vY4va2HF/RCD9oATEOHLLP8cx0kxwSCGib+BJaO/oB+qhm
Ro2D3qEaj1pniGKAfHAoJdRR9wQiM5TummPH9LxBEZXRUzOnynsNdBhJRmNTQOpluxURDL2jTXfQ
K5RAHNhBP2R3G0q/7CCCLhFg5xbBNfz5dOT0kPotpifwkepVZ7Z7CaD6mWGWRIhlTi3WzgEqGPU9
7CWqLKjya4Mos2RC/gG85j2MpRuCwx5hZLL+h/r/wptqeWBQ7d4An27uhlDEhSSJvW8j79VBxwoi
soWDoNZB99xyt6ZnhGJsaR732tPc9avsT2YOoa50mV57mIYW+V1vCEHA1kphMU5wjtpyjjf/NDXB
6lAgBN0BFSg6RNFqxk4mobMqhcrcW7AJ5xHdVq1j9JTJRrJyRcb0N4OQe5NP7YLWAPFOC7oR00b1
AeWEmW5szeTyvQrcjrigoiZ9scm6OsI/tojgqGyUQTRERt4XIqTDcKA+nG6iaUg/d0tHAVimglRD
AUCxYehQUz9dVZaEtiQhs/MnSDIg58iNhvqvgNZkXFAgRQR6J4Bb1wqdt8rpiDr83oEIdDn8uOkh
lUl3CappgMTeIoJFQ/OnFSQlxNupzHrGQZUFc32CnwIPJnVVkMfQ/N3A+D8iJweA2dsGIQXmhuCP
NggH3Oemj0mkkWuFh11SLrI9+mZYfw8gqgJ42OrqLsA2PH1Bc7nWj2mrzF51xaS5QQWTXAxNWfOG
LTL2p3ih7dOwxuIe8s3qe2UijHy2bg4yOmGBjGxb43LdhOtL5ph9WE1X4xZgrwNrnaoBu2mqYKKQ
jD9FgA/TkrfDeo4AWjTlCs3Ob2tM4W9kcqI3PW1byCYNex5FNRxn0oefEjNFOU+hj6xNt8E5MG0+
hy/LX+H1JE1J7LTAbNb1EO5zJBUt5wp5Etjm+w0y1UqsDpfLu12ygW640H3qyRHMFfhfuOmbqawQ
1YKtd/c8I45Lp5A9xtU0oijo/XQfW23vKhLB8R2ySqdHCDT0x9WlM9TQc4+7hEoh/UJNjTwChQL8
wxjsFe+EbzDpc9TUHn5yKThkMnJs6hIHegtFGOCSh00BAci3ROvkIBcI/8o4VM1hQ4YLEAoGmR/k
LEqXS6z/WCfkyxAxuWKdmf+cYrdYbt3cG11245I9TczMFh/HYJ8PoDW6xAjNuo87QW6zupMp5EvC
q9xEgt8GQU3eYFuXFwTiTA/QELYFtGnkK9w6tgf/kXJfNGxqTZGutPGlXX2LNCSTzQJJHE3WYf81
cXfbRsSz45ys7DUQtXZXIFcyBhgwKJ93WkWfGw4lRq4gELkOUL6Eh3RlHk0BJ3BbjAIJFwcVtfVH
yZxZC5ybqOpQn5d1bMZsH7fkwxqvgKFjMohr1qn40wj1B3LbbPc5ntTwycxIlMG3nwF7hNITAq5q
wZTvzOcqWMMKtZULigCVx72xsB1NwF2+9JUNzqbFoi5NI9MPs52Hy8xGeFBMKu+AC6Q3gQizVyDG
TYppUCVvmmzxwdFwelqMJ2fEvc2kaJdsj3PpQwVJTw+IJ52mDPGGdY+kIx6gcEIkiTv1jCzdE1y8
TWkAbpUGU50WY8zsAeVLdNv7oYZmcY0+1cK7TwglQSjLZENYOplELlAn/oDcOSwpo/NLhnL/FFER
vQ1Qxn8K8SssDxwGDlaET/ACZfcO4oOTXmasusx+hXB6ftAWIW95Ng9hhHWwPfAqgMndRFSdcB6Y
Hm3GFJdZCtEMfvtuHYn5rQXYUWYOjcqIsM0NCVjR8IrYBvrc1jFVBQWqf9a6j0DRQQEq4/ibt0D/
zUFq4EHmDQeUVEsJbh7uqk/oaAelnwydBso+zAh+wS4/4WsvoJkyI3zZEC8436oRXAOI0OED9ZD4
+NOKGEkQC/EQurk+h7ZW7XaGwNzPL6JxK/vGEA4pb9ohUzMtBDXhHJTZwhArhs1LQmUDrg26jZZH
TRKWEARGG8rGLPRNYWRiQne23gHFzBPi2JHSfs2+JH0/Y1MZNaI5kdKZsjpkJeo86CfKwCdVBaEN
hfYLMmmU8VB7eXi0sWggr6cMEtVaD7+HY+DTqQTRCgHhYdKrlzWY1AbRkHOJvLZd3I45OIIGqdpq
C8fHJc5mtDBN7BJjXodsFUtbgiDO0PfBytS49opAmckO5bQiXTc6hMjumcY3i0yTyOd4F934Yh0o
SrJ8QzDEuNwI2DdbXgCx3u+EJlXIu1NduSUdf7NBtRGWNyKT+Ddo9NPE3SLECg3zbesn0SWFC3mW
Lsd/pud+ZZfBGqbg6eGdRZYrSDpwMr9ycw3zsCZVTfpdDnonNNS78EMh3BEPPBhAS/0LUfkrJ79/
ImzcICt37zAo3z0q4M+aDIBz2RzCL/G7ev/E5V1VE7PegJqf0ppaiOCW0AWwfDQtSMH3W/6v0hz+
byEMf85g+H+KfPj/l+bwS7Dyn9Mc4NzZbUn/Y3v5W57D/35P8P9GOfz8pZ9hDhm+aRL29hg6FnBA
HAEK/5MozPGtU/CoQtzDoTdB2gMcUj/THChyHiBeDJEUAuNtBm3B/wQ6IGyYQ/UNUpgjA5iHCflv
Ah2wXjF5/kQ1Y0rhC8n3r0WALZ5B9bFPvj8JfpqkgaUjmuqLG6MUEbB6YIDcfXKrxzSYAOlFtNxr
wGeNrKkun0GYiCJcMubKaoKJ6cYA/xDIGeySy7alVBy6Zdh1j2HoHtE9KHqK2tQHj0hGNL+NkKkx
YJIx4BMEdyYg8ci03HWryiAXBP9HcqvCjeYCcBNUvkmK2hJ7/nmLtpnmfTsgDRQ6ByQFQzFYFzGi
Qy/TJPSCqioY33jr028ZirhyxmF6wMYE5gZg2AyrF8hVhtjDlZI7Tua6nLhK7lfooXK12KcJsZjH
dIpiUGndEgL4SKLmWbetf3R1OF+hcFdPqg0QBocgiqAu2mxH8XsWVjjrW/3UMb2c9qr+EAFMvanW
hF+INs1tVGcn1xAT5PXQDEfWswRy8hoBa/NKJHJvmED41JyS3zoOBrOBtv85Ii458Jp+qRYPcAIh
qCVczfGDJa05LwOSNeqIIL0WBzLrE2ilfZPkDg3MQ5wG0G726xOEv0B6uw46Xnii6m/ILtMnmiKJ
zqS9vI2UAvyUuBE1AXIS4M1tqvsJRON1rXvwkbPd7F24HkYyQDCAIJ8/Woioj4uk/jixJisqk05P
JOHfmBBDGYlIFElQg9Cf8EfNtt84DUDOpqpHQCwDwAS3d4qS6rk1U/wUO+5uYxDdD82Ew0NLMKsk
rr+yIVnLrXK33d7/gw1pcbIJmsO5FDwug1PPnZGq6GU3XUmMFLoZI1IILh/BSQNhdRK5YviW8hfp
NpHTibirh0Sz1I6RQ8RwpQE8umW4iOrjlqWByjsw37Zo+4HjbdvW4FzS0W1cj+HFh/Z7h9d/qGAZ
ekyXHum/3gn+lGIHfkTUGCJejWhFrqttu9IgnuGMX4KThBz8tAW2fwIfRwCN2vmOSEpvPXBnbWIQ
xpj294OLt8+LQbuC8MW5RuxpHZWaSoT7xehcylHK9WRbUR2D0d4mEIHDfprcLws0Pqi8e0CpQ9YW
WeuCm7iHABHq9z1UEJVfbgXcfUhpfQ1AgdcgB7LGh0cBvmLhDvla/Se/2vYBpeqHYO5eI4Q9lryj
T9EYdoc+098mnaZn1Q6vENz2eYd+S0H/gtRGMvtCNeAp4T8s+v1J+e/gA5CyEs0632z4G7UclbDn
4kavS3C/4utyDsLqqoSV9jM2w+kD0codEYU4FJ2s2Nmj336lSbAWrkXRoRAUCNaZYFkFl1TULEdM
yuclFePBpsqcEJ1Bzu10gan/blaoFMcZ3HUPAkxMe4guB1VBValcC/nIqpujhOIC9Xk7PWUi7h51
xqrzAiEpwgxlfIYk0D0q122nfpbI99TanJAuldxTs1wgtV3PQIGEBCcyrY8rBfYS+eAmgNf4ulIE
i2OBwZi0hv+HvTNpbhs7+/1XuXX36DqYcRZ3A84UNVGybGmDkiwb8wwcDJ/+/YF20rY7cVeyvPVW
qjrViS2KJHDwPP/xoUg0K5PrWm+M5A61hJmTNmzf5I33VtaYDx1nlo8JwY/InovUj7w4uMP1FN+i
bX3Fj2UdGONrhiz91amUDXfOOPjSNrxlkUcVmYOZcbXEOW0FdMa6EmEGEmxlmwzC+W7i2CXZmvOO
ul40m24xvcw94IwKOJ9VzzUYT+P0QmJZzLIXi/qhbsaHQji4haEDbss8sqSvZNZXd6Ed6AcT/Ikg
c1yelZ/ZSrDlJ+UBJCwofQLss3WJwuLcJe7XCqPcKjRGfTtEHhlftocXyteczvMroHlELkSTg9Sv
MGojxAFt0gBfo3nrGR1ahYjYOQ73Cudu/0TMY6tb+0kVFxwzWjJstfozieb49CIr6XFdRIPh3KYN
0hw/wUS4T3svmU+j1Tj3I9vUg9kE3CLpwKV3aDplfyK/tzlGc04kZDeb9lvH1R+vdGwp0UrXAtfy
B0RC55oYaAOVjWiOpSG8Yz2BrXQyKSA86+4ADBreYonIHgi2YAVHhunuojTgwpXzED1XntVuFFDJ
Xicwi5AiklD83GvABcKps3CiNURaulblOv489MFBVR73h6kUKOU4a/fkMk5fQbZgCvAXD9cdvN7d
hPpNrF1nGht/1gvo3MTGFeBb49x/BM2qX+tGxM88k8PCH/L+uiW5+DZAq/6VrJke6CELzDM+Y/VR
S7P5JhfuwdWd7Euem867jW0z9uMIcAw4TWWbUFrxwWY7yDltVy3zw7SeWJ9zFA58in6SRN5Tryb7
lDlt9g4fkQRHgilBA3A2DfdBbTlPPEfIGgfo3vbTZECPuG4VrPQUz8kB8H/8nMaxtDiMyM6XaaHu
RpQNXJVTpN3FidNWvmHmzXMyBemNmVUhOzOWXHdlyHw+SFDOd8Ke0zNo3ENvzzBJEZflMdVTOL80
4maFCqhv59qsg1U7tNj7jTYO8s1EnsV1BWPxjLpi+IImpH6hJVextqAz8gOZh9If60k7Nnqi7gqE
JY2PJkX7bImpvZ2aAgSf+D8AOXeqmr2LaeBFhmOBQGoOelI3OnNYJ3FST8A+efKxhgGzfK80u3Ni
LZCTNpr1jdNVGcnfeZzsekNUE+qqsV68XRK+uxHPgewCa1PEqK/XuO/sXZ9Z8RmUVOyAtVy0BH0B
su9ZyY7jOfFwHKh8ZaaGe5qGrj7qKNbZRC2xnhRIXIZRw1+40xXwobWpBTiLA3e6saOCAH29re6J
lu/WrW3LU6apPvfdoOzWo5tUh9a1WLHzrGieyaHtXD8O+1ZfkaJRfkpJxyk2nSUnZB8ECXxxGKCu
AzFUa9Nw3qwwkh/cqMhfIdvKrRktqAVHfJCzZaalthpkyomIPE0cYrIuruVsuS/KbrJ9FVVTSAS4
PeOVNyfzzR2a6KqDGH2CzAPr8nJztPy6Ib+uKA0MFfg8WgC9HrlAYkYT0GpQK1Rhkf4KrmaAndnw
m1bQ3duyAyZNyMt47mcGyE0ohp5rSbSo1ApXf5e1UcN95k6oHb0yCT7Fsis+kHxLfIBJ8vZV3/bT
ThG3GK3nBv4YOWx6SML0TpDc/6ku3JtwUusyyhWh1dpm8HpAVfSB91YnYW5cVHsh/sV4TQSRcetk
zIYe4vZd7TBY+HajrDfpzsRPWWVF7LYFXLsQaBZ5w5qpTyu9jcVOZmF403bGvBmMOTgYYEI7JOHd
eq7MbIs4rT/pWrRx+ib/QtQtOyIuPveLk8QNPoW2iBZ/cfMhtN3gzbHKYKtKgbeXb3NuV4Ag/XVk
jOkhZMyieyCwoXcpsk4sLO5W8l5BjxZ+s/yj0qKMo8Ucrsugjj5mwUioN8j8TpBuy34Q9KemQljB
Be54V2mDSScUzIj5ECJWyzXS4pq633uxBLcsjDD9hMRfb/woGFQEPGaD3FWV4WzqYJ6vUk2vjoNj
6SfeYYbANY4/B3PcIfTrun1e1dBX0iwOdYbtmyD7j9U0Dv1KN/TmNTRr9w7yS/ui4938lpL0H23J
/x9nHv77LRkwhK3y32/JVyzH/ed0+mm1/vaX/rEl60QekpW32GtsnBf/3JE9+QfuCMuSBpupZ+tL
/tE/WnfomrcMqSPeBo/BPoGVBWXz90Iei52atZYsBKKT+Fv/SHX8nlzxu9Yd/S+adEPo7Nqg6kug
nmH8ou+HXowabw7CoyL0kJ3T1N37QQ/nLWlT3S5GKnZU4i2B+DlUtWUNzCSePBOx3O1Zf9TOrPV6
J7pYiL9JfbCNn+06NuJ13pwtPGE4hoWa5RcwamztyU4Nzzm4yq7KWylTcevBffE7aIGd4oYsH2Ld
0shXI2+hC01m40q1K4QSffDuFYV+36LuraFgJjd3P86E398wjw0dZHCrP+fQ8E7DSl/N21k5Gknz
dmKI2xxSvNXWltNp3n6xcq4tkRYs1SRCWDy08O+mzYdoUuG+xF6aMCDZWc343RLibeHayn0NE+bR
a3o0OMaUbMZGPtack02/QeJq3s06MhUkWACYTY3bVWZGFvo9urG3HOr6jES4JL7VQqK4iiOi4nwP
HF7fqsCIsmNnllm6jdWE3iQBhbgv6nadDrR0FE3wNAahtiMnqjnWYaLv+t5sP5Pt1mCrBtZwkvZK
D8sjdvH20S3i8U6X47RzEWBeoYdTEA9KW8fuXBP/BERxQ+bFdCrCaIt8gbTJqNfLMyqCZ2FCPGhx
W5brOc2iT0aARJQIN8RDWlhq9zyrWJTcaGqxNavxFLrzg4A7v23gvvxxlgXE1uDo4dZLNeutafPE
h2Bu/RGz2gw1K4hnIE6mOpM8Z67ywMvvbMjkSK0YNPGnF1lrfkhCjvtR1+JbQq6hBQNjW8tseJyE
GP0i4qQcncreEWRVbCu3i9KV3jj9CmOdQ0iAq+9HM6g2LpQAbnyB4FBU5cGaO+Ld69C551Ovrzwn
XcTNmTiGpB0cJa7LI5r6LFwHhcg+VZ3ePhK8mHytB4Lu6F3Sqgeg4xmgwhhPphIQ4DAnW57OOBCg
af3GUN0qI/9vY8Rl5yCzVtZ2BnVn0CAv/zXlsodXacZVx5XmE6s5nIWrhhuyOdWVPbT9hpFJ7qw6
yjadxhRhDDG2MTyY56jLG56PM5HEDdEA66zJ3WA7wKNNq5np9ZPND1lpY6b5sI/9xpaD/mqESYR0
a5q+GKg4rmuWJfiFsdmzt6lh1SWJ89wa0wwYQajAwVDowNZQj1O0mjt2sZ0i2TDxXRuWBT1m7iLt
knVWwuPJab24z4lFbwPt0R5bIClLy7qDHBv9CkUWu+PI53hQLtMGQaeo1EJUDFfsQXx6dByhyVXJ
JmlVtEWchYKrIE3xMwPDQFx9NjSP81AVJwBqCNlqrtNr20aAYZYyWFGts9xdkVfzYKd4RO0U6TjZ
2iAoHhkij/Cdm6LcSRkVSFib31w1j+TotNZBOgmLoDNJdlEddQkn4fCsIsIj/cpzJkHw0Fzo6zRu
Up74QzGQ7to27kuBsrtf22yfCaCBDmls5iy/o84w5udA9kwKEED5ibDODmE1NSqHMnQQdrccIvkq
CbwMTKwkBV/FoXHbZtZw7zRKh48sIjWCBbTZrcWNAf9CHw6RaIRhbaFiQUeqZnZuCHNrCfijvACg
JMufgq6oz3FvduVmzAwmWHwyJ63uynYNFSxuYy8pH1H7atla72NrLUr+f4drVG6glKOjmu3mekAV
cbckyHyAPCwePbvTWft6gIhqSDcczxy+dpumn5Ow0wqCLkicBuZonDvKHzLtE6DoDAKCCfpsmIMX
b1yBbJ7cfoy1W0vk8kszm/URYmt4DuFFgVh0ddY7Ve8R1q5njSxVP+zLaI/yhm29qyPrKpIqIZ1f
NQ+owsjaCVBP3OvYRz+WKo/PLuSRvm+xUNxZFokwRDp2KQlhbtS+lBMKM99i40S/MCXZJnD69DWq
Za2zb4zquvNy8tRCfVgEBaYHoJlOXXSrjZ2Wrm0FWgBV3KmvnO/yTKL/sK2JV3pxNBwHq1CK+cQ2
j755MpNDQ87Bph5sIB6tGg9kgQSf2Fh1/sFFxznPTQ5Jh5QTRTWKoDnSVohukUEkdu2e9NCWtLZM
lCP5otXrIzKOmP26AzjrPLpblq9tr3mIZ0WDpqY3eZNKdzdt5HxOTDGsB8+qVmk9mk8xONYhAf66
w9Cr86r5Z8w0VKBIOzVvYZ1PScDRT+nFKUSL9JlF6CBddibHRu8R6jkMnigqRlYruZns0t1ZpVbx
FxAX3lJBx3c6xN5wA9gtVgYA4RonAwAs1Kwfe0J7IbGtvm8Mc7yy7NrKVsT2FM9kjqnPyszaq5To
jHXDdr5b5pK3TEvLz1ylNqkmkwvlS7GL8jZYOyJ0kooJmsdpc2V6NYoCgoDJdtJbgPpNP2ngyEPe
SHM7NRqOFgAF8eQkXVdsaqdO3wClw3QzyQK0IbRCI1gnLXS032UdHgUvcodXJJkAZ1UaK3RlSjTP
Mcg2PoCGryt61axE3WrCSs+TIHtlDOxdkuAQ35hW486rAsnndRsPTudjezZug7SwDoxY5QsCpG7b
odFal4TjQK6SVku7kJkULyYgGT8zVu8G/oUN6ZwYZGgQzK+9utVPLccZd1ELUR/OClEycxcRrhn0
PxeIa6SvhGc9t8QjrElHQ+FE8H11RFuiIfgZPM3yTSDeaNVnwUApTlnn52HB/8uFCbAWTmC80APL
pgsJvbAGfdueQznwsLY9+5qswWiN1NYwTrHh6PaarFA012gRgObs3Ao36DnUGg7Y/QwuWb9BIkNf
NLMmj67VDsuAaRvNBuxVbqYL7dEsDIh3IUPkwot0F4qkQtFp+KM2u6hskkSd4IbZHocLudJciBbG
k+ajcaFf1IWKYSsE67wQNOJC1siFt1FJw5OARYowbkSzZCGMQxAFPFot5i/iWLyHceGBygslZC3s
kNekHLSRNKudVxLSfd1EUzquONrzm6TwxqfGkPVZNwf3pQ68ZFc6YdP5qJ1AUnQCLTwy4Ypd3TZg
TFqYC9OP9JlHRu1G/S5Gc3FnAKHlR6+KJfC7W30lhcuiGkuE4oAaDXtWUVIY15pkyqzHvo7M7srx
JqN0vg3Z/7vW/U2pKgLZZRH792vdDxXOf7Kf3//Wn3sdMfYscMQGu39udVL8YeqQjSxVurukyP/J
fEJv0haBA9/CFatfVrd/bnXWH6gtKN11JU2rJlEF/8lWZ7k/J+YtuxPIvo6hWSfzTMpfiXwXaJ9n
kl0cgEYZDXYQDGGiECUOg+Fzi3k6p5JrDKduKR3K23pa6y1FRCSBufs6t2KsK0FLbgsb7E3L3Pg4
LjVGJGsTPB86LfmojbnJQ2f8RJJoXa8n0zZf5VKHZCzFSL20hxXNIGgeA/cd1Tf1SSaNfjZtr5gJ
KFfSl5olKoR6uhuFQF9rEmkyc55s7Yg5KCuWZy4H4yerqj3qVdv8AMhO21jscCi57lqgClgptOS3
+lL+VOAXeDQik0Yo1Vq0QwHSlZ8iva93htLmY3vpkQoNx3kLvKVdarw0TeVNGF6XDZqVlDKv05jM
4twPjbEuMvde9bq8FgnuVi8Pw5cswv8mUQvvZ7dXzH514AfocHe0ORb7IbZW5KNO92VVuoeGatqt
o6UTrJHSbwv26LBgcijH9E7jQAaENFhhp4EIokVk2KeUcDUwupuhtgTSaMuCIh7bQ9/OGo6kWT9a
aaQds5anb2rU8yrSknndYmi8ri/tXxhRaQIbhv5RjytKquh5OZHca++sSs+3uDFtfmo731cLPefG
WkAxk/HoLKVjU9o7m3YgODFw0/Z+Ro1Ll6mTbZ2+JDumGqezFVNi1tNmRuPni8jjdqdXZrLvVWjs
gJeDJ+XB/yZJ4LwTdZxO1/1kJNehjX8r8yrY7HGkSs3LM7VmLUGLhZBmWzvIBAlBNTZElLCxLIVs
FLDJN3Tmw9dwmOR2FgXNenWwaJgJnCARaGiz05RUH1hFE5SN5fSqITEx/WK2xTVhK+qKmFvDL3PB
lxxLOtCq0AO/N6iSi5ZSuWCplzOXorls0D8Qv0r3nGZa9d7ry/R+LGtO8MJUtwbTw5VVwyP7Fa08
QIykALn7XuvjiYF7qSuSCKnS1bwU4Dk04ZH4SkbZTHQ5QmGK8gy2SBi8kvo8BFgJjkLi7XzD6kWx
ygymZ0ImlLGmEtRdt1QrkAUw53eaZu8p24FEI53punGM1zKr3eBUYySIrio9++gQ605Opb0LNE/X
Dui2CfnfZZ1JK56v5FDIzzPRSfEmJPrqdlZje9f2hpd/ZtoJmEyLniWq6z/Y1WjeNd+ACaSIj1bQ
Jhu5wBYwcfI4lK6xMCMLrlFFTnWuvsEdNL2E++qCghjfIBH7G0ACW1+6x+IbfpJfwBQOSj73fMFY
AicpwFvKMBDP8wWGEQsiU1/AGUGnAEgNmI9+X1wAHAZROP54lj4nHE/QBegRC+RzAX88UuJIC2ws
PV2NivYrX8BlvbmIKbW9VyhRwvNkg+aXXt+na0V+O3Y8KCPreghzapaxWbymOuklBJxNekhiWCfQ
BbOF3xXMBu+TZXbpzghGVe0p13CLtdJiCYSsB4HcFDYWZX/OwgY71Sj0R/YbNAAYRujdgSKIUXJZ
vGKXBlS4GrKlYioP4wT3FjKB8tb99jQnO255thN/aYt1uTzzQ3dEkyYQKt6Oyhm3MNH8q8gUJX82
IBSOsGB6zPAoXzUOLLOflrjHcJ7LgZwq07mG9KgPaSy57xFfrO00s0gX7k13h+Q52hXMz7sSYfld
YWSnOUTYg9rQLk9jZEdXQYWOltQy8ooyiyganygOau165NJ+lzjG0aPX0NbgZ7hX6UPUQyfeYC83
ta2g7O4BHibZOEY743oZSCxwtKK4Yeopz55ynZvOqdUz27kBZWXKK/Yq0yfyiDV6tMJd13QzW+7c
Z2zXaIk/k2j/xjOquUG852wHSrJWsYrRyhuiFg/hrAfbUSTeB5v8p3vL0gIeDkV2yEK3vS0Ju95m
2iSOqhDBZ/gG+27C/EfSUHjg6Az2VBqIT6mrx2sckt4zwXbEuXYISfZsXeOVO7vztWXTjBfWI5wb
StsX8pf0o12X+E3Dccuii4K+E3NCYEakVz4+GBzwUzDfOTJJsF7IXYv6mZjUEn7VUf0Oz+i8s1Vu
136C83qFcUWthqyMbpHI4ZFrRsO7YpauqNo10TU2jNUDr/8wUrrhG3q8GKIC3MFTOKzUHKUbK5Hh
zuENbKs2VfQaDlbE0Thbn0yzbngWwsK8Kqjoa92d9S+qN1DpQBNvUlQte6etzY/IfqqNITGVVJTu
bpO4wjoDBX6TiqF+QqNRX1Pk1NyR3yRPkBeo86MiwUs4EkBsoilPS5u2SSNz9tmsXmDu4tNELsBH
dE7iBg+n5Ie0DpNAPrPdeqXAUWaKm3aM8m4Vc+ff2YQH7KThNK+eW6zq1knXcMbdfdNSiulbiPkP
uWzlPfan+UpP0vKN+FHgnjEXm3QqxSES4cegKRyCKHPB8OBimNMmc4Onp/Hw6mqfxiIgYTEq6+ux
kET4a22c+Tz96/WomRW2euh3oMTug4bNnAzaNmzpMXfHDXJhdFpqdCTR6cJFIo010S9CgkTqnKoG
h4Y2cEx+mhi82YQs7RvVrcsgtl+NEcPuSLX07LtQyTzdgIty7qolZhImP/FCHnlhzjrw2DpTFd9f
htb/ne//Zr7nPnSYu//9fH/zZfg/zzikf6Rtvv+l7+M9pVNwMga1LtZF2/jDiO/KP1xHGMREuA6D
CaKbfxI3lv3HkhiC5NBx9SXcy/gncWMJ1JLSXOLTxcK38AP/A+LmZ6UuAz5ZxIuokUxwWwLy/MLb
6IqjVIiwPMDBLu3rRWjfms1Q3ZAV7a1/+Gi+k0Y/ti4tmVI/ySh5LXKzBJ+FtMAsfyFiVCswbnl6
cXBR/N/MQHM3YFvyCYjBO9X1LDe/f73l5/3yepawDANWHBLsL/U1DfIotwJmOrh0aFNdRClx4Ccj
7c/daJkHmkscc2OOnk7mdWw8/v7FfxYkXz5Y7mIKrlChIlv9NQ+q1kQ7guQWh7npuvc8y7HMZ5hM
TsAV43kMZvkUGOLv3vK/+IhtPi2eY9BwZAdz2fyoVO3aLmkGz80PTa6PdxAq3btCQjH7Mm7Gu1BQ
FP/7t/mXFwSdWbLweEUpTPvX7pVkCcAxSBDaR1pQXrle5a2niC7z3DO1F6J2neffv57+l8/VpcjR
8aBBSTCTBgvuT+8Q3ZOYQ6apPSsFs23vBK2xsDYMXd5A1QXHZqxjJAElI5VOP9fKLp4K5pFhRQMl
HAdPdffcTYCKaJPsnpwN6KKTjtby02R4f3MVsMj/ehG6tq7DO3IJUulk/CpML3ikhkneUWHsYoF/
1HLDDq7aMKMENixrRtoacPhIVMcEddd2tv7IPTidNRwue3KtHOcYt9RoXObMEJWN40dOxrVEeQ/t
G+St3JAtlAOvCyMjYhOE/yY3AKWxX9sURvZGyySpNTGxP5Mx83iHALzBBqM1CAVFeVURCgBA7ox3
QUyZKWJNys/fPCxJE2HS86g2bNlGctWY9Ms7nBLOmoS7VO4TobSPSRZJogAbrIgHVJ4UVvhuO8Hc
+QaBW/oXrtJFSafHcTJeo5pQ1v1YTMOpEBGtmo6NU0pJy6KHezkIminnPkWjMt5pQzfeybQmHGUM
6uq5T4zqeWaxPTgE9NbM6qp6Rt+i7kTbMjHLeub4YozDCac39iuxF+OZ/k7m8lwF1bMZdeNZqzX9
0e56bx3PPFWpEjKKQzHJ8dnB7dOvHEsnwujSi9pbDe+0SmGqqZfgBcnICp4MvL7NuvcG+zXr+Rw9
dqI7/I36Yy/50mavlk9DPduvl4LRS/VmzQALdlzGNP3KUaOytyV2+fztWo2SkI7fyIyH/jpOx/Y9
S0rqSRkXq2djUlW7awe6gbAtYS05SjeI8wOxr3XesYdKr0dWZEQfI0UHqFdxnq67tGfUyCdUfr4q
HOu1bL3qOQrxCl6qMyVb8VOV4Zr26aLnyiCxU1sxhZZXjUBs7ptVOd71/VQNa+WQKYpFtq2eR2Si
+SqkWpf438sKRK6HiUOYIQ8w1RnP8WBJwpDDsqGfls/fGjub3AzPYnwFZJGeFrWrmqKom8ufwVpY
rPJJJJwbc7TXeK/3kdup9RBKuSW1gAuYGYvACDLaqz3pQUFwhaVQVCvVDiSp1SPyAZMYwIZqGwwh
WOMyTyQ3HeEslY3yCa7kAV2lwIYWlGOgtsQATH5gavyFIot1cRj0zgWfpc+BjtGWjBNth5g5GdY1
TUfBGeOTnSFHt8GLi6jvgpNBGOwzccrDuyKehIE7aef4bpg0Y/jY8vFHu7Yo1K416KGhCz4FjPeA
/EtBNCvFGDafc/tYmUFEJDbl1wHzIw0mGfhWPR4Gs7a2gLbmjY1kc6XUsA+QoV51YTk+OkSZI98L
cBoSkX9jEYizwtOif2oF9dwVbRZ+hwvhVnOiDii+btkYETe+dCQvW1xf7UBBpIzHK6pV1d7yyhD1
szBKZs1yvkFgEL5DNes3Dna4YxFHzk0lCkqumf+nk14Meehz7QIvzWSs7Ipq7t5lzOq9JnGDfmYu
bnmElx6LNW7+Vvq66wZPZkHRw1rXrA/UxrFyNfVroRMfAy5tW/uaIGrFHzSXaRazMJaC1G7fI51/
YdvoxzOPOa5lIyiieO9oAU/puYl3U9tVz7beLat3hM/cDb0cN4ZS43keI3QLEbNFZenV89QupifK
ZV7H0gufEtvhwCyN9DHBrv4xaZb6WDnZVBQJHFqxa5oHr5JkRUgZ4GofvPLRwb44x0kBqqJZ4ZY+
cs8+2oQbyo9zW+kveaNp+C4wF3kHtJi0MK/0qh23SAua9OgYpvk2h8p22IPS458RO02bRIfQk49u
FNX/TcwO7R7ugwH+6ZIDMhxss9cUIFCtr7gv/5m3A3R4O5Kj0W8JOaZf7OfgHWsy0P9qmWV/D94p
XAQUpBPx5yueWM0HWiCM4E16A4rWmnjbcjt7JfsJ6rMejJLg0FOexVARbo60fSZc8dPkeuU+tgrv
1o1MARXWxTsizZp0NeFtfUaHzCxSdbZ3ModYW6W64mulRKLZxBmeyQ3xNmFz03jtdIDx9PAqTDwW
iCvBlYeU9l0s5dZ2YHO8pc7MRVP3XCltKLw1acPLpdSHiPbCqNRvgBM5S8EGOdMTyc9RJOHsnC6S
p3bgq1llUD/oafuE3wkgZfDBO/kforTgEhzNUJ6crCKhMTRSzvtGNfspUpyDyman25G25p0IaqLp
j4RCMGYeJuhLXW+8w9zIvWQPdbZzkQXvKViOdyBm1us8JRz4lyMQOIPUCMKql0t/EFl0RxsrjmIS
DazT0PdiR5UA2GDTae17gY0DP7zZ8OQ35tp+dTOejy1KyGGd2zGNzpRt4LzIiHljYpjYa3bffi2d
5spsV0cJk0SgaTy+XHLtruqsafZq6se7TjH75jio8eRkxXQ00I0XxKNNuTVe0xhgmCvRyPJ5MOoq
ujVsxW8N+cR7HdTMSxZNPLlnC7t6y9PCIX8fv0gU1sDugycU/RbhaDnHPiWJizp7e3oItNJ+diKd
gxVONTkNVTMSR/kvo5YsNuGWc9HVH7JSE8eqj7SvXVPLXdQPuDT4nZlyYs2VT8Y4cFl4WcOTvJYd
WBrtPRX6lbFItw1ZQrCdY7x8othdCe6zJx7rPUYHHpgNR9VDsHyjSUIS3NznXHEZ4Uc39GiwNaAg
FQRG2W21hLV4diCedJhh2+JzYrR8wLup9Q8Abdi1VvEQhZF3zlJKPnhUVYQt4agP6yneTmmshTrR
QkzL4Y7iQZvEP3s8ZwL9SkzEWbpCaxGvSQMnBcUh6IjoDGYQ14jEMcWDjgykUytKQeghJYpuPcJ5
H7Nkrq75+uszXpfokKoInEKT8VEjUQgaI+LRQ0vZHtZCx63mgmj1g837qJ01qBZxVS4INX5QkAjz
PvQ40s0m7Le6CHUczTq2csiZA2K9kNK0TD8XpE+WPmMIUncFOoSmvPM7J0+/0m1hbz1VBnsJkInd
vlZkB5XtsOJU+IqG9auWTbdytIYD1zWDQY90RHaVuLVz5MBK5CunnfL92CNzYDYOHkann7YJD1Hw
7YjAFkK2LdFZ16PRF/d82zyXizE78uTLd1aewogsHiMvd1DpZ9d9So4UHNZ0K6Yq/FBpTv/clIZ5
g7QjKVdmKBggx3qXyYyCA3Vn5vqZyQ8rPu7yr7YT2MfFZxTHWP9lQv5OgWMemgjS5ItdO3whFiZb
GlptQvbInhaolZgIVLXSeALjDezVcoJEghOC5xWnYZeUV31taAfyu+rquk0X0DmPOG1ip+GKnFXA
d48+OMLWgCsnXinG7r9ZxZct6afV2MPq7RL+7BqIPykF+XmLgi1IJE+8al/Zl6Ff4cD2m4Ar8ffr
2l+2H/wbSz+rbrP2WyxuP78O4ZRdn5Rdtf/WL9/Dgz5CaGsYlYnLvXKWNJ3j5Tj8/ev+ZfXndYk/
tEmaxpDNpvjz67KSZyaul2o/Jpnz2mkUmeXtmI2gv1Qwbcq8mM6OE3EW12qZcn//6n9RnPLqEm6W
jHSHX+LX1smpTUBPyMTa0xLFAjJ7jfFIW3B5hXOL074LlwJ6UTWsJcvkTX0jh/vlV/hfxO5vEDvT
Bmf74dv6ix354ytd0EXYlcWPmN33v/Yds6PK9w/gNa4eG4U0yByX9fCl7f7f/9VY5f/4oUH+H15k
+YdYdvsFAnEIADD5Fb7rrEHybAtMRpqYiC2KDvX/Hq4DrQPVISiX+H34f+MvqNJcznWvtb2DPiXL
EQfFY4+ps0X8OQ51+/LDB/Mv8Lqfb6LLi0mJ0mfxPSMtsn8Bk0J7tEgV66z7SJuqZ0IYjMeJFKCn
NO540DqGqJ5DoLdX5HPN/r94aRPZ+oKeOXyoP9+/sUb2dlfq1j1MPi9N4QYd1xOVJhu3d3iyeyP3
VSsQgK3agEKlb3cPPvzwS/kv3vnPqNbyzl3DQi6/uM754n59ecOMw0ImmXmf0R0Xk62ASG4lsPtW
x7hcXm5cEjR//5b/UvZ5eVEuFbAiUGf31yqHoiqCPqykcc8gaTwWrD8HI3fYuJcY9KfL0Iw+ihen
nqVpd5ys3btTLRnbGpvGqnZKQkHcMBn3LV1jwWaeGThB0vDeBLYiU1NVARBBPNNv6rO9QCWOWcEc
/Pv38fOR/+2zo3UXKNDg0DcvZvofzPIeSroeL7WBXUrjWukzVKtZT5e51476YxZP5RVZQe3771/1
5yP3+6tKbg/X48bgv3++YBxNuMloN/p9sqwUhTbDKblF9FWgHru/QK62Vek3tisjfLDLg/j3r/8z
jn55fZPgCQ9Af0G4f71XlJSk/5AQff8N+VlumEkyXYeq1v+mfkTnMPnh4f39tSR3lrfUAFAR+/N7
JWulo22x1+8RbwNqoXxMtyrWmTAC02zfx9Qiy1g4y90pWFeYT7lZNKixuwTpx9983f/qjZO3wWmJ
Kp3Qp18OCYO8N1mLQNz3Xc1NYrlBVp5wrLJCod2V/8VNskiluC/5j2sbvzzY9SoRsWYqA0oPdq3A
1Iuue3mIXsDMvEmsg6la9ps65iqXLAc3OW7ucDUlujb4ejKXV5oDWBDW9hhuiIonIC5Fo3yBQKNI
AWoUU8JdZnsFcgwZYaDa/v5auTz//5y+Ll+ga/D9CZ1HBZ6dX6avhGpNckmlfh8g+6EJymUXu1w3
aFuq56bJtVXmDZx7Ex/gZTUL6YMnSXGS9b66gKTx/7B3Htt1I1m6fiL0gguY6cHx9EaUmBMsShTh
vQ08fX9xVFWXpHjJVfMedLYyK/MACAQiYv/7N5lNdblMC6WfAYDxfAI8P7/PD1ZBl9MT5zYMHmxg
/rfzTOOEPcIcNW4EEeqgkmqYqeXrR0MHjaGC/Gpmm+8nk6MLZjV7LgdGuGPvr1j0kZnqmexuIGji
Sd4X4in0Z/UXQr1ArKz5urUcauAwCTnG6WOK7n6C33OXDIpIYSEgfCbKk5muswLoRDs/JoS5nINK
VfAxwYQ7dg0HQFqhAJhTn52aTxply8F0eaBFDtXZ58PIE7z7YNmsdd6zxcxFCA5v7+1ALl7mu00i
o5uKWYK5MwqIdepq6RVUHNnvyxEEN4CRnBJjKcA5oCfgVbb1Y5geq5zf1gNJBkdgpua4wZXc3Y44
Rvf72OkGAye6SFor2CwojHRMoTlaxpNGqVNE/Vp3q6ql9y9VDehDWV/rps6XkYKibtgCcBfJUmoW
26vLmwFiyJmHhObcLLzqckxDF8pa1YKu1ibse0O62ZVKCfulZ52xzjkHYEErFwwt5TzGzxC5pXPs
ZVyuk579+0hYU2GtGiutrxs9BqafY9/BcqLqqKVd9BQr8AGtfhhKwhLWVui6d8gvYiiuCEUdJXBp
AKdE1NLAIhqNiNDe9H42GlLroCy6PtsvtPexYh/A6w8mFbZ2CGnGnZvRwJG6HsOjDlnyTk6jgWEm
Uur2Rpsswwat6UsBQ8CEPUjxVdfXblTkBDf6dhwS1AuiHsUD227GHHHlwIHdwWFk0+BZTQhsbvkb
1+gBE6BPiafOtzkmlB6rDUdAFuJRYeJIFhS24+L+ug6tkrQ2HJegehiYtZ6D3WUDO7MRG14dLAQl
uPWRcjSVF45VNefa7HvGNpI4DmCSnMzewY6SmHRCv//llZmDqABMAPkoEhqfIJbL1rTbbYuXAT4K
ZOLp+vLDIHv2aI7evCY+BUc4nNRgQjXdzgXY22J4Vv0DHYLMWRIRAcrq+JmJMv+OhjDtV9gdl2t9
4PUEMdqPHb6uYl0YmCozsSAjg6uX8+ytJAQJxNv9s93o2EmJJKrvNeFhjT2W5A3ax7Ikh/TexRGB
aNkZ64LKxaS/oN8MaG2T0pLR8PBDk/9vAD4RkJzZiUaOAKazpA+uPcx96x/4AzsWt5uleGXLRhbe
lhYrh5+FopWEQEaanPDqDKsZDkOs4PZT402k/XT5VONQF4X5NyBs3pjEfu0SF06Kv9FVCKBPitsu
kcxK/Cbgy2/JeOE3oDTVjz4EPWWfvfBSE5ozga6TRjuRrkxXIOp49ZjHP7aJHd0Mrrf0wSLpuoRi
Il8z0Tmv0pZgNSroGJ16vpNpds8diPHBGUCbNJt1yLULGqYtsL2idndegOkAPy8bwc1RcdCkg0/7
MCgYIJOENWRlZt6jUFf/UpX7530Pp4y+khuG8K3Q568No+efRAstaJhiHHxIiecfkFJXZVtPMDit
yU5N08Ti32hjI72EJMgSc0I1/7SK3Gq+JfOHTT3RWFFPayRnOO8cN3q+ibRp92Hldc+Nr4ZSUeju
u27gj6e7LYaB9hJNjfm64tiJdkMk8hr1E38kMNVur8oia/dRRMNyWHgjo83JUJqTcT8aUAEQgsnb
AbvHBytPzXvIXvM1PTzwzlOfQJqMvUGsIAgv32+KkmLsnpOKyZCqP2Hih11klHL61LGlffJI/N0g
Xu2ea4V8Nn7UPKZ4MVtEs3Ty9nRQWLIG/POEGJwIN2mX82oVLwE6VfpsE5rHWKg+AdxO/RJynRY4
VQgDqc2z6pxpxLsz1d2WFS1LRI3t/tRM1FOdQ3hVNf5GGFn9iMcBu7nMTJqwoelzSu8WQMaxciS+
tl3LnY/8N+OqqiY5nzfY2BfB6YAzqKNKtqT985/i54QfkJ+u0Eoh0cHYWoaztIuhLgRFIb3zuBD2
E4IWQGC2HW6wNiEnrzytnNINIqwQcUzMxcvTJ2SEgtTtcW7VMYidB+e+6cazJzqTfsc7qkOPwx1/
60cGG3BpC9a2SpUqWVwkO0MaHAzInj84vOnLsrPcA49TnVmj5twmEqOLFUJ47nYcknY/Tey4vZqe
osyNSz1K2ZkytHotMdscV20vlcNFPUVavC/ikBrQIIoV7hdm+9YGEIabCVXqDH0uxqw3PP9hJn3t
Ps28BkkjQSC7P12APM7FE2J6xnSu8Rf8swhkuTXfygR9Dh47CXC/6gbh6cwH56jLFxNNWwz5OI71
NJRSo6rOfNXi5LiPQWto8VYTs0MdyUbOOEz00099YvDG+XrGt/6pxZLxLNNzYhnNBPnZOqKrct62
HXdymon2nBrd2ZSwBAhMwOaNgV4GmRJZKN21P4fmdPAwSYC40tgsTbhkNvuihQuX9MtMJDjlaLdZ
nF41BryBM5AJL/WOzqp4stLUuDc1jxrATylD7BPVxVLoG6mBxoiuL6VpKxO/fnSimg+9MSa67uoJ
2Yk4I2PUj36nou12KngXAiIeF8PiE40oUROWbn01UdLeDw3/sEKUYG16dUpbsDYE41MnxtO2KRed
GVXnmnWwCIfHE0rU/nlpku6RDmaxblUb5zRqbT3O/jqdyNpZk/fAR+/wFFkS2k/10PO9lgoqzbNy
vtUXaYVr11osmPy5gcMHZLvnJgFRDf5ganHXClQzTHmYyhlt9zhRnJ8Jb8Q9OUcQJgg7zcUt3qRl
G5TIslWvXVfta7Wy8G/7D6Wi5eYYw9N5r7Rqg0piyo8FCtBikw+x2dyhOZ+YImHGQC9qcyH1Ua19
s5lquyqidRhzFIlUSW5j6B5AV6zOTgPwZy1Shfuo+A2nhbWNXHac09wNo5ltbe4xUZndRP5s2YZu
TvPTNodwlwIE7Mayscm5HTymCPl6aG0xQT7GkYSv+GdCFFPhvdQuSsGgUE0sLS197JDgLUcOWMpp
VjjYXC6rzAzpW0EM2BlNCTlLKLQh65C9Bfhl4jLfCwwycXHJtAB/KUCIVqjmWaIeSJsKZl/Sijxo
sebsdpKDUIsjlGlcGjaPwJQz7kXsVBMK+IgvC7MqdhiXVty2qpk0IMWs9lZiXAnXXG6o1JnUOpDc
EPQTi/ZpBbSzHgObCg1VEfQk07N9wyBGpuHS0wvUBoQZSkRsdlCPPYtCFRFzvW00Uq035anVlw49
n5nVSK4bYXxx+4cuUVOqPSBi5+AnIp57kKPH7DZt3EZTu52VT5tWkydueMRZ9MNYxleG0k0cSpbR
yz89bOH1jEeUVMx23SCU8r4XA4cQ3Fj9hxOfm8wM9byuP13bg+neDd5cXEHS/QWBioaon3Z7BLwI
WRRePBGh8ALrp6IBhEjEciipg7HCes6a2R5hX7AjyWRagh7Ik2D4VDoPRB0yzgmpkatK4OO804bU
2uqlJ0c4yBWWWeNcHGDnphcWebAGXnCiOFDZz/vSQJYR5HVdXoSVVb34M/EoW8ecWQw5ZBJT0Zm9
t5nnjlSrRi3+R6zXACL9OOZMNdgY4pCflB8w3waFAWUDYEckqN1FqcnraYuavzYYtWL4K5b5GgRw
WnnWxILTqsW/GTnjkDo+3zaxN9+SN3SKkEM32Ux8M6pQzuiVnU2Wz6fqx6T4YgHO7YULHcDMrDgf
2OHEnc6nzYSYVlYskVTZ7+rU6cj8GoaQ2sMNyNsPZHcwg06FYURmS33Mc8yz6bmyplXO7IZn4GlY
GMUV7Rk/sg9T7RuX0Sx8+n9992wuEo6KldkHajDea+mY7J8t9jH7oYhYrQj+Me9HeizBad3004zF
Ea6itZFNyTeRq/NmHfoersSozNe4NNIRn+36EWNaQtPxOHpqGz4hTKk5pIZadqR7unUitTIv+L43
6KfjeG9iPvzbHh29OxP1wBfXK/GKyBr/XPtzwmjASDR25iIrPbhx7qK7Bwq2ud931Dcr5A3tjtC8
YZtDqfSoVXrxpGeLcU+HB8hOkL0RgPMwJG4KOw23GxS/u8JhY3FG6dzHINakA7rW4UQxa5dILQen
I7PQixcayTPMCmjV24i0FW9DFqC55crxPX4W87cZo8bz2JbJt3qIsnXHF8LqTLVDXBoaF3flOgX2
8pJssWsadBWu8Zg/eBurteY9Hkjar6G2xHPqD8tvTH9QVOdz9zCZE7Q6zlUmyEWnn2MHXmHj4E0/
ENY5ULmQVaCsaUpSohoIhUdhzcll4kJjjFIn+V7UfXRH3BPuy0OBfCXrhL7DJVMSM16H32LNzX5V
jeSXBDYAHSfl0o+ul1KjYkWGORmB22NRrzyA/sWE/L8OzxcdHgHz8xUA81eDJ3jKkxdyMZKn1w2e
P//Vf/o79v/AkgXSckxTQLPmB1/1d2wdrAsXWOxjVbvm32Y6GM7qBuUoVrOG75sn/vK/zXTM/4FC
7VGs0rCA4uH/V02edwCvYmLTbjEweHYtAHTTVjDZKwgdWQUhYJyILkvWuc2IzhjnSAu9f5BhUwDE
LOQxnUel7Naz/rGv7PEbfW58Pzq/bL6/Gr0PeiHvGbfqbmwdcyFMnXUEoYoQ//pu7FLWmR8P46Wp
DgURHFqIYW5Fgsw89hVuiJM9PLojzIhVW3jqFJmeRFILrmiB57vls9/3+hW/EZOkkOfGt0WgN9tJ
R4S/sYk05i/w1RMI/P/w1dP42bSN6MH6wtU98x1waSdAS8BF/aU1E+m6duYl/zbC1La2vSvx7h3h
yqW40xC6srgOKgyZ6dauoGaE7jACZcTI0dkXNRAPGEwVAvlCHVrdVmQY5lZpfJ0N/rHofPA01T57
wM/1pL6aN0mnORe4h43FFx2Gt30V9VCuDaGRF0Hjj6iGdyCiC6uW4zeWrvDW/YcqwnRwZWcmU6Mu
aTRMc4v/cGjkPz5//W8hWSjscPXIh7YQCoFhmpa6rVdzUehzZNddVF6e0C3s9wbKOjSMBE08fH6l
tyjpnyvBkFZ9DSTHcObfXqnGwg27oLi69God8GaCvbsLewRuK8xsNnozcHS2dOlVQWqJqfhq0qhJ
8XrS8JQmam7ThsrusDq8uzzJzgmIFxGBLszppyId0PXhEprvxFJ0GxInKuWrkca7KW8QPzdZ5f7u
qYoPky/t89khdAaxWkqcXEqk6zer5aizjj3McGroIGu0D4WLnQ1h8HthOcvwRcvS+PtF0Xxi2UD9
Dcjs2qpD9upF6c6Aa7IItQtjCIunhKQGeNda1iMus6Qso+MUJ9lPWIeEey5NvHVwkadOMkb3pXc5
SQQyjlw8/9Pxd9Ja7jNmWbF7/PwV2+Kvl2zZFpMI0JW1la9TCc5f3aXDIUdv4966SGGMcexZ9xzz
dzMxzP62x4A1IJ5AvxkLKYYV+VZu0BoljNq23uV2bQb4/ha3WCVjreHmU/R9SovqACW0X9Wiqb+x
U3vrkENhMOBFgWUnUtYJbXVXXk611pHcgWItigx89oiYoZQxx7jYg3Hlt2YaXUdSuXjkg9tc9mFz
35uFZkEKMhWBXZqsDfawLEqelZ7nsfAeQ32wjzEdewSQ8+gHkx4Tm8CkSw6aB5l9NUlvWRsoGNdL
Ov+qu6a/G3TNxW5Egfhh1wwHFLdgebExZbvQ1bA+RY0H6dLSSQDFa0L7ZwArxXC3I5OCBM+DgTHV
cwK+zHdvFdkdpP0ZsS5hBcc2bIdAMg47ZQp31UxEQ1KJNVvDmI1xkwvXICFyirwmGM043BSdxQmo
9q+AViIdzLDq92w15hSUJFSvvN7Nf6CMi8/M1q/xxunx2PRTzdx2TrE8eU6FzlYHTMLw2sN/mRSH
J7Lcphcyt2sRLGZP3wB92xhtZ0hPfBzTtJHROHjbtgoVV9Eq9igziMsFDqwYaCJbaUykKdVliFWI
C5q3rCiZw8BCJFnsWifbRPYg9RuF4a+TriWeOWUm9Vurn/xuN1vufI7KY8nDm2Fq+gITzUSlKz7j
9GKay2M3abNKq/FblvLqlymLtLfa1dAPQ61f9llPiPXRT5plR153HxJ8nHCKTc28utPhlR1STvkD
xYgPRUsS5EhiTwwVYF2GIfthn2dYmzt4qOlBC2QUXuGQjZZ5n0kXdpicc78/d7reYkZNYWXAihvY
C9H3x2l4NfLpOFHQoKFhwmEoWWwhqrc+0lY2r3ADsuUEWghjgwCKUC/toOpCquDYHyasuXIXQKIL
ORVgn65qMg/3HSgimGoPtDgU6jN2ElCpSzTQqCpKvBdtGJHbYtVk4tFne4N3KYicDI+l5fauQGg+
d80i9x2IXhujf4/dYhN2I5wEcPESOmPuFHKPAqOoEW6SOBO4s5D5rk1ovwa8VvO7VhcQNMkfo2rn
/3TtCiI+pvlDX5bf06Lwi4PV+n2+yXDRu10UxLNNVfl4FuOs7KInic2434XtWJd3bMbWkSgNM9sO
NXewqXo8wTaegREcHt+oFi4KD1cfPGnKusWk2BiOLQSffB2FVjSsXaVDXiUnFla5pBalQoZEZe1x
A6joZRE3B1wv7X2UkNsUkJbdWGus0sP1MoQZMSxTW/vXaTildmAlDRV2QZmtncHuw6+8DjG7d2Pf
rTeGjJfqECcGzSIo+PGE9Sv5ZIaPapvpE1koWCBAYxM0J9o/LQExUiMiL/PMS2MpUaesvBGv9HuZ
T+Zw6dS+JEubIJULMeClvYs6N+M/8MGvrW2YxEYJLJcjY6AvAsmtm8SCp34f9fd2aiJ0mUOFDhkK
8RjKWTVFnIUSnEQsBRxbTdYFAHabBEfqx3xSEH2KzcddJ5zpZ93G1n50J+ArfOwoKvFN43dEXlHp
nvRGhB3iqEC9aNz/KTsnFOVe0NMunLF6LtJkjyAZILN0Ccm6OpF1S71RkzNNVTcq7+A6ztIGE9Ib
MI9VPJXcWEXIr3HGDgYqRMCyShKa4C9DkJqrQ9/RMrpOW2Kcb00PtfphtlNkNPQd+YFQAbAi05x5
U00Fl66qhdbPbBb9QhKxqx5eSaUm1ifuSwE4tih5iqERDFVMmwR4IRv5dOo8ypKbsnX55IEpQc1O
MhjD7AGAGsPG7xjVTAwOFE/tPFwUaHy6VaIPDbmUuqtT6Y8NOAh/T7HOE7GAkMqnzsl9ia0aCvaj
NyaJh1kU9Xpwgo2nUqEtcwvIY/UzRT0Md0RYmIln6Z3HboHURDcuT20MG34nTrF2nJhHhA7+cBbG
RAetZes26FBcae1qk2ENdLeRv7I8E9fz0JEj1ug4DH+fnCLq9uRzFi9y8dUakjSA2dQBgBSJKWPo
1wjDv2t6WGyLqUYv7dosc7Kd4lt8B7szQhBTsRZma0Yse7DpVmNsQttPtTHa5GbJZ7JooeUf7LIy
mt/U0bRZPIMptZnUir1JBcLQLRl/44ZNZmrOjHYwHRIL8p7cC7xYFBzWpP9QRfv3muSYflz8vjWe
yVHHrbww6Eoeksnkp+bCUOnbU4Q8v+a1TAHIm7NdMPnqL2bpkl43ds3Kc7u9Xcyj2C+Tw8vJdPy+
djVtnOqidGb7XOtJiNuALxXjWSSnOg48gfnCPScRVAiA/NjAuUk30nfqJnLJptFr2AVkc5dHjZH8
MCqI68DcnMDkt7onvJcfI3F6E7sEMx21sJ5+xpGObD93kakfEl83buZOC5ddO6DF2SS4JIOsmn1q
Xc9YkuOR79QqGbaG2nOhZOZzgERi6hCjI+jaTB56Lhyy3IK1o+vyjTFbc7secxKgdwjTmP2ZPWMQ
IkOpd0FYk8P6nQ6RcZ/iCxbyOSRKGRYV3XXplwYLrFn76daDIjCt5uERQFloxA3kRn4LQQ18cxIR
NGw7zL3xtgk78FUZMaM3dWLxNikcaF0lmF9U525bx9Y1Mci5cwhnFXCIvbkWXWStpvQLHXmSNJOL
ob/I85D7b/0s2naxl8XradZ1sg+wtiOT2CF8xQ5j9+J0Kv0/JOULJMWAngdd6/+vbt9S3yTPT69x
lH/9N/8CUjz9f/gJGM5gJTYeTqpo+heQQqgPRaoDWENNop9k6v8GUiwDtiymUr7FDehE61DK/gtI
gV0rTCoYXP8p4ElG+a/E7e+KDXjflqCcMyDf80f8f94WGxGTZ/Hqatib5hBhlYpnAqlmJg04eyAp
BKPRtjzPnCFBtxZ/ybF/V5CxFYKWeAbjA1ENoEnd3atSp2mixccHtN9NA7QdV6JIMBIzX2NAWOxf
vZYPMJoPL4Xjl07xDCvQeXep1kpHwyhEv7MNenW5aZCN0OFYRJXbrP/7SzGUvoUxAS/9PaN/MVCM
Stvud/mMbwfpLM0agXsW9LM7HD6/lKpYX1XkpwHEl0BHN8Ck+IvnCLo0ZLlgAH36cIA2Jrvw4Lzg
Z7OOyjANXHgrZAyimQEwqL7gNSo45e+L442gZjFHakWOe/X2erSEoVX3PWllNnwxgpQ2pWE3X/AZ
/35xAuNsk6gqXCAUe/TtVbrIs7qxCYddCwW7ZW6imVyJuXHHTVoXFKifj+g7DIkRFQq31LGoMJkm
78XoArEDDjN4pUUSP8k4a3/T9nlBf1GsjLw4cwhi/QKW+HsYMXE0fRNDBLBU/b3QJIyzFEJwNexS
XQisD/2cl+VXm8+fSw3T25fFVahpoYTCVReWGuZXLwvGAG2UJht2FnbWyH2084hqH9aJiSQceejn
V/toFF9f7d1LAy2lOS/yYeeNk4G6GKLNiP6pVsbWle/3qzbLfn5+yXfkcHF6c/hmOAIzEAxs3i9l
Ms4cbyJYZ2fEDgKoys4fIp10FNKkPawQ6JgMza07SjzOcrt7dnqSWeho7oeorXbj4I+bYTanVTu5
9a95tjR8hAiyMfGSvltasjzdOCJ6pFm+WJje+8Kr+4Yd7OqGI0gC/GvGeV2E/pKkxR0SdxuilzZh
LTbPYtxoGkHoCT60Qe3REsZzDPegfLb/wXSTXjCsuEsXJDyI6si/4iwaffEtiA+mJg4qBmCUBY3p
L0AV6gNIAZnPoE8xMuNYrIFtia33nH7Twb74NidWGuhklJHiky/lcS7T9pySe8zITepRKSMHA3Yn
ZISE0JVF/YeVNz1j4hnkWTSY7aXpLNphyaZq3RBhuyZmsubUjwR/oPh76EcvDHzqSBrmmru1LBOf
Jav1NlhbHPus7VaTltP7DgV5K7k4i+3s2zB53SX5YhZuwguyRmsgZFfrryqyMPYNhusrWEBEfaMh
O9djqX/X2mbcpSUd+1DIl0xatz0ZlASvRNm+RzR3xS+X289n698fCHY2HAz46tmD/3IhIWdcYOCu
XnoXX2oZwR549h6MZL4fFnzSh6Ew/utPkitSWeDzDzeA9ebtAuC38+j5S9bv2jA8GCQ+5kb0yy/t
c5yvkCr7zo/Pn/DvddtDKoDqFLRFwRjvOgxdRKYH76bfpTKHcjMiZ4wwMt94Ziu/2HD/nqY4eZqo
acBMdXAS9b+/WtsiAofSiabEzvdGcUbMk3GoJvqhnz/Qh1dBsMYxBcyAMXx7lUKn/usnBlBzWh25
t+tre3AK7/rzy7xvbbEe8DRIAj3l+OmyHb29DvJXQgtqBdWh/1sDgaVbrCPp0XQlJOSwczlSMPF1
zFKOrfedknJXwa39allSMPPbDYOmn4V3jYfHqoGe6u1tNE1lL8nodpjb5e4GBXq+BdTpt/bUE9tn
2Yt9MLAP3LR69TuvJvc269NpFwl9vCiWxToCHoZfvAHzw3uizYCwwfI5s77bViJb0whZtrod8cXl
QW/FxtfxJsSOv7kMuxqfEHeoH3NQjSBvNHk1qCxYnFRN3DXKCmwr/50bMzZq8H2XZfpnAKoNmqSv
72RJWkDdJ2Ivong6ljK/1PT+q8PFxw/gI/dEBkJvVYngXs/U0Gj9QnoTgxrLW6IP6+0w2dE3yOhs
+o2brkPMe8gBcnp2rLY4gpE9ebD1MLXxD0NNAtvsteMGKMW/qTC7u/fs5fciwvIIZ8zfAj3I9ZSl
GntFn2/BGOsvtgTjXQ/oNDspWP7zBO9m59RjQxlVEu4SxKKjIhgce4GrBY4R6z5pWeQHh5ShVD9Y
lRwxHSfx/fMPxPpwFvie0q4SXIKB1NtBhKRjTzQ/ul2qxWQFDojNf3Ksusb2mtQ6X3+u8nH+jqw3
/kUbDhpSFKSVSU6RiiAco25r6l21bh1QmAn4kZQqc4DBzQV3syBkDYcD47csDYOl0r0jk2kj9BTw
XfO/4z7S7o1R6OeaMPL9UlVP7qjfOZILRTYE+hqMXXwx5n8f3Tw0ssTXcEJwsBl+N+QYI2Jjn7Ig
NGn+vQx3qCDytbZgw1EtwvrinPjBso3aWVB52i4/rIJrX8/QLicRomXR2dVR+eLTw2TXxhGTlLiv
fLHUL71bYLiS6kDbtKIxAnt7JdLtB4LmBTOpje4zbNCxSlIccrhmzkrIDCRHJyrmGDoQ3T+fQh/s
vo5um5AH4A5gpfLuIfsoaUx0Rd1ucOUjDdRrcuNusRZ4yd3+JyWvs/78eqez51/PKvAbMsioJmrn
3Sv0R62bk4QpSxle3g4W5x4ZWmtJzkRgjctvgMN7fEMIw5U1hxvbQ9LeRS3alOWLR/9wMqHAZWex
YCu835aToR9FPPL9Yt6C9qV2SQej80PATBUFIk5fPn/yDzZNh9YHr9mg9qbIf/uScefMomKYecmy
nXdRTbzrMnjxFzXih+OLvs5mJjG86LHeXibtSNqBQdntqJHbwBvneD2WRH7jiKsdJpp4QQRQvdYk
nOcJOl4AGpDTLtLOlgU7is+f+e+inO48VSFFOXQX8f57nSRZgnGXcTNjr29oGYPUtcuFHImiiwpD
C+quKHd4OWGIm5FD+fnV33e51QrNuugw2JzbYfC8m2t9RHaRhasT7FI7/lm7LcqVqY36K+yLBA1X
p3KcAP9/4mE0qfxfMDjMxVpPa7JwCuQVWTBpcroYYwtrDLPvEVCJ6Es56gcLDdp/Bws+HfoEet63
ryzWvEQSOtzsnDkkR8cG2bY76P8qGvqLIfngUmDDtosgFBiO0Xl7qQT6eN0A9e/6JSxebKIPb0h4
IZJRc5AFfj78H16Lmag7ClL7a1WrlfMTAZ7NTphJe0O0mLOtJIzAtO1BEf8DNF7/WT1ee0V+sIhx
2gUW4YgImeE9UkFYX5RWA1dKLJ2EpL6s74qoMTfsbnTg58JGRBbLL5aPDx+P+hq1u2OgOXr31qJI
L6EjiGZHlwaytICAmaSFuW51s/viUr74YKPnpIGpvkpts1ix3r43L7OrAe9hpojdIgJ1pOyh1cT2
tKxpQZV54EC2XTucyXEIs8ZJ21I5DvNmoX9X3GBExcdF1uriH8JO5g9mPdK1wWfKG+DZ5w7WKwQN
PlWQDy4yi+bFNoqVqXRXKvffkkeyAtep6F37o5gIpYX+I8+EFvtIoQge2UBUIRYoymLj3hlMerg5
RtDmNjUKYrctv47NH/5kJAVhiYAlEQpB3YmJW2rh5LdJ1sbfurwy5CEvQdd2tEILe6PptXEsFsD/
XYeUpbsURTl4F3Y/yPCGtJC83PL32kSfCd3VvBpsgk/XJX246AJHXzJdBiJ60u0gmvxu1NASHttS
q/a4bUFKk1FrtsQ0JQ+YbVoI7eAjpwc3mqI68IYKJjP2OzLaFDWMgPN0pJxE2uUTqbvrOmI21/SD
JLlsI931MyIXQx3cAcbyui4IAV2NieeZTy5NHInrfj8Hi2dX7V0taGgq5mwqr6fQHe/KxG77DQ5x
vnurV4UXbaCSR4MSPszbxpv9BIFZBH/DVpHYUNZTf1eqbJlNHir4T4ewm62aTnjf0rjJgzkvCCTv
7Hg0Vil0iX3hDTfgvNsBis73EGXmDyJ59du+pFMTFuj/NZVEZDX+1ZDLLTFO2zl2y9vQBUS1YxrS
dJh3pp1N68zPim00jEcLc4XArLunNHPsFak74XpIZ2tLgxndkzZtRhpt3EPr7pxu0jfk3zo7QjCr
FSfmZYWiIDrr7Hr+6fZ0hqBoEK/ljk9L44j9iAXzapzlCp+qB4iXG6TOzbXwi3Zj6GVyneFeHwx6
Ypxh6x9fQBPBr8qFvUMa7cNMEvFOaMZNksB0o6sbHkLEloRgZwOHis5FKW3D0uvc5QbG9KHp7X6V
LFLwl+wqA12aJ7s9ZvNsrrHkI5qtJ4s6jcMRLmVWQCSPsVBLvOvQs29p3aK/mbx4uyztEkitH9aY
jJu7haPrbRjl9T9IGvXzMnaxOcVqcD3rffviaE2J3Q8kLw/AeofiVhzanC6XW4bzgQQ689BhjLYB
pDiasB1x7TK2mZA/CprEP/CV3LvCRsEsf9CoJ7hB9wHqhvBH4WgRaVVZ4R3GwS23o9ZARBDafeZ7
4bELrWTtRJW30VNCT3N8J4k18okypm64TVptvG6i1rvtBqyvJ6s772XorvIZboHUyt9dg6+iZ/XJ
nuh3eDiFN77YXT9AmCFMIFtnIwIjCY+qKaGjrjhpKk+JipTX+6zyMFEwmTzfsRq15rUL6ztjM2WR
SKNheqwZ+8tmYpbhYl4SOmgcyOzDsarqqy1aSu+MPxAjxgexCYUpZHeO/Vo0dY8ybt2OzHHi7Kds
vUD8etQMxAspplQrjS52vXM1s/o1u0tW760MZvia8GgXVWcFd/dcI08bLaDrYftIMp7QjsCzOtGs
VQMJoWWksNIv8/VCLBeM9XS+Pun1iIXIksOUEisgYP9cGpPpbSus9ZbVDC38GCed/tPRQ86T4Lsq
6U/Pz2o22V9950UOapoIVuIkEuscbYRzZ49Z+OID7g8BpwA6mnU46mu0AvM3+kzFS1u3DjKVojP+
gY7RrinRxJVfIgGCH4KrYtzJXc+J5d6Tdvo4dvyO1HK4DL3ZHBf8O4JkxuAWLmP3HRSONkjakRQO
gY6ZEFt+8yOG5fWrqe1sm81a88NtzGSftmGfHywIEluC7rvvAuY69WE1TWt8rop+PSwdH0duasQP
Eki1Rh8kSJIzcfpsRLZ2gZBxHev9dptRNxX7ooYfSXhUND404aSIOCJBhuVHU5hge2k3flDQGjzU
ZZyrOahNx8hP4zuS2olMcmnybzuGU3uAvsEjuopnfBaZC7fqZCN+ffMwXURhGBEuhxdopdfLRdWj
+rNj/Jtp7yc7mxyXu7E3BWIX6TZHRMzxFV3x+h+gOxOlVyWuSFVqnE1ZFeRzDnO2narZLnbwnaOr
PK9HN6hFLK74iBo+Kt4uIHxzzArfxsQwrn+2SjVuLy3y1oTxTtJM7hYoDDsvZlC11pZnGlPzphZt
/RNnTqUkcxZi9FBi4jfIiW+P+zw/q0HTNVq7OdYGLobL2NU/e1m3P8aYcV1ct/lVGVFLuD0JnzT6
yyI8RqARkO5QmvhTJ67spcHEYqz86GpOkPhw3i0K+QyTyfZIFzEny0YaNBHtcG6wLdfrCX1zoCG0
J7++jDGyROYRIjOu0LTVhvxf9s5st3Lk7LJPxALHIAk0GmjyzEdHY0pK6YZQplJkcCaD89P/i6py
25l2O+G+NuALu1zSkUQyGLG/vdd2bqRTRY+1SGJ4hX31Sq4k23TkK8n145A0AjJQ6t3pLXNLYoti
vVaPNjG2sXNb8MtDFJgePS1lXYwjebBqvrrWtfim9xuxkKZ22IGXkMFubKvJKbBbfUidj4izkdkY
nUjC8S9Eg087Qjzm3SZd6qoPFp5zZKxSPc8zorXnEuh1Y9sJo2jOj0bbrXc5AX+wBNibHmSRDE9E
j3o3HCt+yJwakXuva2sSkIl40PylyTFJj8kNcfLSCJRdtl/zhviRB0DhSa+n7J78pX1jUgB05aQG
RGN74IMyDUCr666eJ41uBVvxVwOwN9/qEGI/9IXcnjbhGwoQ7aN7jE72EcxBeSWske9YLdk9W/bp
0deZyCwjhq7T0iKJb7UimT/cGpkvjPoEkh56i2qDUmhjGQqtwvVmp5Q+40AX0b2dcOQK6l4187EY
BkHdM9mA20WjHHKDgMSdxpqV3ORZWhlhYSzVLSVwiLjDnHOtdeUlA7C5yitDX3UfFf0+WOD1IoX2
N8Ljq1LjyY4xYgyjMn6IIcWFy6PX3LFaLBQTpjXcBRMWSdimTv+DUOHicM1c7v265s8ieJOrvT5m
RhuQqDC+LLAi7v0OPJR0xfBjqr3mrosoh+gbs77uBtg4E20Qd0bnxTeRaOS+81cms/IwWKpkNZJ4
K59di7vnhsI1/a6lTZ41vsoK51jhlftgR+1eOBNHu5q0MIsYjH10087qGQhb3itJ7O46Kup4P+Q5
xFtRcGl4bV5ZrZ31gePG8lbYqt7hOlePZE7xdi3JB7Bd/pGq63oTDbX1jcJEZ2fXONVq0ukb05rK
0BkssTf4ewVMNO0NnZ88h1hZ53ujgLH+GdsqbbJldPHaYa5VD51vX8jmr3hqXXKWaUlFYqS9JpR4
0nvKctOibvnYTNzoI040XJasGxZQggnYzWUSWn1Tzk70IGB+U3gqexhyslgCo2TY2IBSOTqyOw3z
nEPC7IcLwaOWsl23PMVJOQds9dkC+oz/kFDffAeTY+aSn82qwXofcvvUSN1gSSOTsRBp3pbCqMOp
s89gn+1n9ts6zvep+uaP65yp6nYJyvKxiSqXaVnChnRIq/nZm8b4Xi9psHTh7gm6hjb+qOFJkk11
8MblDf2veCH6tazOXo5WJkhdFnpOOKE7U/QRAtdWx0zTKbeJNAIjhV3vFI67cxH108bOzeKO/+Ii
ylMB2zeaYKnz4/te8SG9E7m3PcasAGF6BrpBbg6zpXjCbpsfpHSfplQv9sil1NHrbOWCAhJVUMHq
vEgP4aYyzGNkLcY3UI3jDs65vu9MY9l4VJ5uxoGHUdVJF4wZUmE8z+LM5sJ+Tm1nXzpTteNxYgGu
IEIHsYBO6tMj+zHQjPU81bZx7Rf+gmuhsL/UyZSCNPftHb1G66+m8ifDcd27eeAqObDPAX6xLwyo
SiFrMk31D+JkuRnWZCGvm5TbgHKaGKI0dSssazUkabtIVTjVVEsxQAh8iChh7wo29HacvqXzlJ1o
lj10WZOngWNrV9WcTneLbj53WIF3PIo7LFspGzUHFmrk9teF7USPmOHYZtjDLmMJTIOaaOu9p7fL
BmyCd1bk5sNIT7aJk2cUgLbOTUELL5jq0TcYWuTLcZ6r4SIc8sbs0bSMB06UpzqeUizAVgI/FEwi
z11bcizNtRUlzgxtuPhRl34tqM3YUxRT8spZIRbNUiNp9FIjnx5ZzdWMmM2pzh0kHQBtmp38Uer3
0IVOLSH6Q0Qz8gB95PLJG1MlbnJlV2TdGfAE5ai6K3TfORAqPRiQUr/6zEw557y1VbmapemhaWox
rEmOxAuwDhpfsae2x8p0vxmL+BG1VfPKjjV/zRUBhFQp7RFar7azhj7edm5f3M2CHUs+0zEd2IQY
Qc9irWc7NB1wxA6gWa1qtDeDqyv34GZUCAS0UVY32rjygMvZrW6Qbyo9gDwBTR9gBItQZTjpa1Gk
5Z3ZeMWdgC8DlYSCrn2ajN17rkz9Wwlb+r2JdJg8JjHJmwYXwMlp0+phtk1yjy07Hq6b5JCDtS/n
LaERCs1rKCXLytrjbYl2tuRr6jpGkDxSQGN+YX/MyTSj0PkUr5z6IiMlpXqFiKCo7/3ICI0ngVq6
6FVXqfEt+/QUVjYuXNVM0Sv1ORzC7UhqflgvkXrXHPhEoIwH390umVM+5M3EwqCSaax2btwN1c72
RxSNflrpHolJTjqg1bZ6SESPExtIQfTqGJCpqPueyJm7qZ85G5sUJmAWi4bezaD4KfGWYpfalLi0
aH01Jz40hUSrznJxOs6NejkYSTjWo4x3bF75zovmYS+2R+THTWL7s7bX5nULQNiczQuHKf8qTXQb
WmxbsGnNI8FVgjfnijCf+uh1aIeEeqUeNluAIbz4MHs6WgMICaTLRtvyX//8YzqDFvcBdYeGpL9p
BbW5NINUgIJFtbcoeAuthjwLleWrKEDeoXxw8I+V+1ymyD04CyQHzGzKDrWBCnRjNs5k7Dpncc5z
21UPzoijgkvIvDUco4bfL3Md9JC21rP0rHAxDPtixvhx8QcKiAeBNhr04HeSi4C+8yWbB3Nf9rj0
C9Jad5nrN1FY06fyBcOpmg8TMnx0Y/f80gdz0PkZ2ZXzU8sy4uKJeSppfR0rcABcE55dtP+ESgkq
ViGdkJ2GMFTCwpGfkAF+WP9qVoP6IQmA5Hu/bzGG934hU+za0pwoNeX5CUYu53Io0f9OI0k7ndqy
jh2dk9h1eiTQi4jSMluhc7uRDmWqJZRHvpb+rikEzhtluNf7NfcDNyq/SQbIWs26hczd0uxg55jJ
o5Hq5pbScf3ETLo9jEVv3RWxN13hZZJPy5KMj0ABhj9l9f96UH/jQbXQyJln/F9p+J/ivM9Sfa9K
JX/Gtf75VX9zoYo/MLOZPO0mJiPP19Ft/3Kh+uYfuA3owuAASTyXLcbf47zuH7rHHAMHECozc3d+
jL9cqCR9GRFiJWPagnvzP2xRXVXjv4/HYBUSc8MExWGc70Zy8xdVGXdskvVwL/5Ex7QFxTyOwZ21
zDMhg64FZPQPf6B/oZ3/qw/Ea4UTjq0f05pf5kUZv3VtolmesVV6G2MY5X5ZWZQC4PchnuH4/PvP
+1k2//MXdNcpJ6E+JPtfp25+Khaqv1377FaJeGOWC3t/Rc8oZ/gdZvPnsernR3GpudbYI8hO/DoW
aMkExX1m2OdsJWpJl4E1LXQs+cKMYSQstCq5WQqNIwIh8R//ltxJAIHxT7Lg/TrSGZtsmHVO+2dl
cs4rvZpXtuaU4CqA4fzOS/GLT+bzF+UONDBOkrMQzEF+ng5MFRsLd5L2eawwAwZuvdZijKlOxGro
XNgPJVC95ERpLkmbmbixgmiwNgBMOckr3Sx/R97854ssdG4mgWPOFZQZ/TJmSo0EalUc2Wfvs2XJ
L9h16MBx9/+fn0Vmg1cftzA3zi/unJiy+TzhSHCmuAQ6mE0Bgkub+v1nCdC/v6rr3/HnhxPTASNV
h6C44+m/zhNxx6wwid4+D1HyoUzlb8ER/aeMVCxiGCDN1SqmG6xSv1xMMJU289DcPi8ZGMrUG3iT
eYLiHQOSzu/Yxb+YWNZbR+C9c9dh/Eqi/hUPSzrLGBZU03NqSkJ31oq+pE4clk7e0uXjrfFmW8w8
pCs+lrYu68hU1fqNeftf3MG4EFj2OAWvdoRfb5jINExCkRmnSK8zT1ZWGqtZmyM4QVzuUDBGxTbL
zFYE89KzNfp8eJ2VZ8wK8jue9L+6e232VjbuYA5T+i93VJbTQ1VkNQ/vWr6kr9SZsYT0CZfod86P
f/VRgqI7eLi8Wv7J4YbaATDLbayzdPjz+n7MI4t2y1KP2vQ7tujPSz3Lt23TKuZiMsEr9M+3LydS
ztlNjcwN8Wuhq7KtX0oLbN0ysqFfhzbeb+b/xs9L8PqRq7gCyl9wn9kYEn5emepswXti0EOtR2QN
bI/DaaBaNd0LsrX3co2kbj/ZPokHCU/GPFK4ZQEGaiUaE6XOzWFZ0TefK8if4LZ5gY1GZg9v4Eau
kLV//4wTn//pKV99ofR+r0jqTwclr8aff+bSQ8iYCss+qVwvdvqCVl5Joe1iQ6EGVXoxQwhm20gu
OazSeiapwTe7awnNFluGaTUThCLiQkZknt4XOjjeJ440TAM+GVUmRNJkA+cFpppDRpH4bgzV7xNh
lAs4icwvuvcWKwmddHzdRqVo6qOZNi/dyqD1Ytvi3MofEBIFY0RKQCEDYjzxn7qFklkivlFjHAwF
fiKg96klNOXTZhfmrYys9ayBJJWXDZ+x4uaEQqJsGixfgT2wpeXYXNO+nlTcIYgRkKkrnNV7sma+
OI0raVd1cUHAiqx9cvosDYQJ27y4NROJU0H2/d4gYnurmZ1GpI3yAvlqzD6XzF3I9WbBSHj0iS0z
916XiTf269ztn8nT2fDBXRr1+oYewDAWQA+/cwA0D0ODK6kVlHY4IxArV8b2ELD+Dvg5fIcX6idL
ULPAFkEoQ/KP8D1ak01XCvDfJw6zck8OVb23Kwj6kzfVkQsGB8YQFspvvDyZA76O2re5ToUY/Sdj
atV7VsQmMTaLjsJFRYYVevPqx65n/i1Kn60j5U98l2KFaGF2IBfar/DGz7dcyZsanU4gFhAVbtND
bE/0rs6uu2KnMObDGS3nxT0l68bkk7gdN5wX9dRc1baZNGquM6ICFgTusPnMWWYWuDlXZPw15zSt
kS0qby7DYR02nT7BUBq0Oorg7AHgszmtOHf8u1mx/SwGElXC81fp8TrXXmgDTDQwtpuZcY4Xgudk
GuuiraFQfjZIG6XFvTwAcHpSOsXYe69DeaW5drqtDY93Ude5oNrnnPdyACGX832Nx+CyuPlCQEAC
ZB4q6ocEbFwA/GWLN54MYfsQW4t5wHVKwNCMhf1aDkP5xVvkfCG9nm8ayjCZXmtQ+nYGBIiTzKvh
GOdENAJFkigcy6XqN7qKBKy9RSKuCii3JLTS+RroDvN4O6noScl8P5SOAtuJ/BbO5TIzDdUdLPNJ
XZ8yfa3U5Z5M6F9T5V1XK68M0qgvwH+13QeGUvq8TRQun3FHCbU4pYq+z1iZwmVlNNIRSp1NB779
q8hx4O8oEhffUSZofCawfgW4uI13K5Z9pLS9lhsjrcr9UPXVtY/rCnLCopLXeOXpulVXX2aRiD1U
Ucrr5g6PjqdGwXi06HYzXhrGLWN14kQczwFj6uW1zBv8mI6JK8AYuIxe5DCnzsbyNa1Tt9tAilab
TGcKv25GCbBNEIw3KzB8CzmFRAKblx1lwt26MMH0rPTovgfgdyQdUx/Tliwv3tL5R4TQtk00qd3N
flV8lRgsQlK5ZFhK9DQy2UgLWfvmdjbPB9hKpuBFEvZDa+yY+fGNPA2aJPhh27MiwChZS6xos5au
VF2YYXywnKAF1R8TfFAwW6/Y6XoH02LitCkZq+L0jvggO/cjzAJxAuKyVkA2FeIsSfitWVT9Y50J
HL5DqXa9k81wH/XvZGUrtDrKLKXPIJ24rLXpc34ONEP0MKqpMy78klwJm+hzHetcURem+BU0sfKW
Aof6NlcdN7Um2JG9fZKANQYclD6uoNZtVXekrPFsscFG7CejzWrbvcetzoJULb7xZdYXblm9g0vb
Mg+Nt14/OZRHy2QCj1g1OkRowLpLCMi7eokMe7rNpwagxdoDRmad97GHVi2ZstrV+c+CSt2YMPf9
2arxWR32WcKoTZyjMIes3IQBDNtQ4yALe+xJB5uo+3T4RMnWZH/50dwBjTSDvPdiVk3Mfi7BOW5Y
1VrxZySqLl6dlP63j7ke7BUU3EVb3KBqW6b2+KPwxgZ7ZKY5zzhq/GOb+OqQV3OMT2iKZR/kRpp8
U0P3liImbh1bxnEYzSwfX/NF67UHydTOOnhm4l0PsO9Ckctsm4xjc0g1sexmby0v9+MCrY7o+OPg
tMU9wNEPM1++TqZt3GSdCYZOgLAITb/tt3Zfm+9xl8Tvi5TjQ9zjfL/liU+3DU2BPmBRl9H8ANBm
DppcuSfhAHbbTGNeF6GiLHAOs17F46HzJ/1sN9V8aVRn3YsF3AKUqqw3AuhTEjs0esKTVg5TuaW0
O79MbWvfwEbI12h/f18weA5Xx/B3e9By5u+L9a3yxXDuRL3A14tMSRWrZ9GcnMBCH/tl9LEZ5iwX
fuRs0sKzT8DHv0W1Nj6MXZzdGX2vX1oZO6/ZKLI1MJ/4vCtxZQUQKeNrHwTepZ0QbTV/9Gl7xdP9
ZsqxPhdAmraldPqzIXQNinqninZvsOTtmBv2w2Yi7xYF0o7caZfQ7PFFZHV9GEpreahlQh5o7pe7
Dnt94A/x+NLnXdNvdaVseZoIZDuhV0HMD7xo9LJrMemYLeB+qQOnXO0qdZfqUZet6ZOo74uS8Y2r
Z1AOvfGauWH9YQyNuvR1PexRBudzmaoi39R+wgiyMjheJCxu+8yOkDtrdhYaplV3uAMPM1LImUaU
wSmWvJds6qygnXPnapImyyjEJ5+G9HrAF2EW2GJoZa/MCyAvppD0IRje1stdmwXRGH9Upuijna81
C2RPaI22jWXQysVyUL0r71VhNI+9MasnL5/t7TAtWQiYB8YpY9TA1oFYBtOSuhurHl0Zwu9M3sHt
8x7qQCWEkTbIfGPzp7odFs4pzDjcNmSALm9Ql6dHvR21C5M40OjSaqydp1mtG9Dr4uwa5TpjWJkS
o3vPvfsBdnDCcG913+mIct9H0Qm502vR47LKDUTTtMrdNojITn4s3dLITZvQTXBwu/rDSab4VqVA
woNFqu5kjRPTlKoqm00yyWambr5t6Wcs2xsth/KMMS/qNn7Mnj1e5mmiH6CCQeT0ADfOeHRhMtvu
8DWBPo0JI17SGyiPrh5EdZnflH6eo6OinFMDZHHVcgQkG+vHiPBL2ybqvv2nN/K/WuhvtFB8kERm
/t9S6P9ps7dSvamf8vifX/M3IdT/Q9ictkmKESf+WQi1/8DUiiUZNtgn8RAN4q/yKkv8wQxkFeig
r8EYcjnR/iWEWhbIQ7ztlK1YxN2Is/9H5VXe6mn9u9riYHflP2xoXVQQWrF+Dbew4zXt2gSl7OSe
F/aONly3ZTfslyiZToAzwHFgR5hDLEnzO2Bv98qh5wRAq2GM91XV60FPA+Mb7wn9khHzuIZFyDIH
6ot6Btp+N7Gy3eskH9T9nA7yS6GcfJ9RwXcsYmG8VuDLt3nqpics5ttuVs23AdzUYYLWBSwshaEX
qL5evus1hw0ZkV0NoykzH1olmTCWeXmOXCvf9xadglNXXip80CEsKNpJU4rsjEEBk5EFb+SCqdrG
1GL3VDQ9c9oon26q2sthjHjrpCMmduKKybybtN6/dmWmX4xZ6pfZojwQh4/V7JB48r1RmfHXFRt0
DUnk1phEf0FZ+bLo2BEMEQHYamxfC/Smtj7AvK1ksVmEnjGUJrTdtrv1McoTX4f5g1o0wfpfG1ud
XK/fx5EPAZ+K11TCFEIOyR4bO4UlM+V2uq+LKT1gGCG2ao8FYY3ZAOlj9s+VJ6MbPELjXUeP5nd/
HuevBPMpjsy8+WDNaXstLAbMMBEgxpqm3DURLy19Es03JmYT4YXY3WFXHvaukfFrMOSGZFjmvKo+
wXp2/6751oqSnkOMxmezjMGkadO2lzkTH72ij9eJLug5BZw17Zjj5NxANl6e7aFt9g2V7x/4zKpA
pZ3kTW2Pe8TyiDatpLg1FncxeUUwMk5ovNS2TL77M/aO9Cmepf/iNqLYplLUp6gW40M9jM0XP7Ll
ZSGFdRkBnsFNby35HHW2ukopfHwgjV3vC2AQfjDirMLtlbuYEHPLuluAPVxihnA7DolkfjSaTO+B
xyAUEOtbPS/WcCUYXd/6cL9PVdyJKEwXO//eM/m/joTID/PUW2fR1fm+qIV86T1XfqWK1bgu49rB
CJ4vhwlj7DUwGetsjk51aAmE31DEqr6ki0XnRqHyY6H1+PCiMQr80vFgedYmvWqGuDSxDX7GyOtD
SltCwRFL5bvRxhGX1+PZTEab2xENg8Tgtk/i7i3pPV4ZuAqMrVlH7ltjjT+cBqQ08R52v/Pq0Wki
e+d6UHRnBmtPlp19n0erxooW2+aL65VfsJ4sT0rVWOl0DD4MDjBEwlzQTo6m1g5miE/XOJ4dg7yG
aN5wXadUtGBhYE5v+d9l5CX7cuCL4kXmj1AF6eW1UE2oki7OacxFHC1L0rKRg/ey84Kom+q+Eb4c
Ws7CxhcKAo+wn8SpGpt9yckeVLPLtkbmaXZHZBTKTZQfxDx2JxEt5dHOimpDCpMZKYslzFVfHl2M
+ruZd/3GVR3T3nJK72ul2z8WXKOhlaVJuCQzB6rayb66ujY9umWt3dUcb2iyqXnFtklmbhr8Nrda
SzklYtG5aQcvDWlBd7q02Ee4rS80JmGJzu+GKBq+ahFx8kxYxl2qxxbIbhx6YU6zwXWpD+13q5v5
SWx9M+oTtnRjBMGVU8UGeMjyvrJtagAH6rRJBSMs1C0H6PhmUVWGk41BSoDhDubiMAl4atpIyUw0
b3sOtSrgfI5U4PvDI5sIG8cGKO1N3sYNy5yiFTrvi4V48tRc5jLSt4ahfU3RulZnH9BFmfvk/kWj
UxRSMinX5HPmjfox15W+rfS0Ccw0q77lIlnOUZX4d07hiaNSOCeDtevoTnYaDlQX/1WJTV1g8liR
Et6tDoywC+vC0q8H9q+hFxULFdVeLraFBU/e561xvdhJ8tx6trwqluEVg4w48EbE4Z2q4VrFNnu5
YUyvVCrKsJs1/wqUeXvb4Yy5pPrYPGmRzK9VhomTowA94H4VbxbQq1tHNdZzBmHsIDgabPEPVjsM
PuaPxY17Cjj8+g3n4/py6Rf7a0Jd9mNHtiQPhMz8nZX68b4H+LjlsAWpyoiSW2ONZ4zI2IQ5m+lB
7/nTlxhSNuRD6q2aTO/sAdZMGfTgvbPcdORGQ3jwNdtpuLL9sgd/3+9LOXXHzF/qx5yqAElx2jab
o+U2Gyx7Ww+DTndMpy9p2GsQQp142ommGq6NITZPvhFnr2NjZpuRkvGANJl+kTziZxWZ9QEuDDaF
rGn9l0wIuSnKUf+aR210YGVKjlFnbmbAQLcLAeTvNWyIU9152q6IXXVj4F06YkGKdsKO1V0+j95j
PHrRztAb/SEZpM7HuZEWzrMmdlbiUgY+N5halvm7vvQs/33bLQobu019Mk7XzQJLHd1QOwPgNgd2
qq2Eg9yTeyng7VGrRHNvJvU7D6Im7/40jb+QHpENvRMNZVyl5Xd3TdzkhwrGO8WOtYugiQ96hDwY
ec2H39bZkWgNsN1p1K6kiSDslcUt+hYABad/cVonJoykmgSG+th/yzrx4sjkTY/6D1SzF48andJY
ilBbxprPa4pjW7rzlnLqL2YT1ycwqy6n+8yE3D+W30EZTc9txBcOGEK51SXBoAzfFL9Ff6obBUpi
n4upWcSFrRZJkgDdEwlMAtqwt5RJJFcT6ftNP069d0sp3yy+KhF99NSCe4d8GLlw2pyY9U6DuIZI
qO/7mV3Pvkjq6iLrBuGiZgFl7+UPG2OKsl2TzXFxwsOFdD2m5oZNXnamdqw89a10Xxygo6+cGeL0
NqLg6ewmjtF+WV3EEf1MwMvKcFLjgkQRd076ju0fv5TTRJOzNZKBhEClyYzmG1dam1LTZ2g4FXEH
oZ4V6Z2gneJ8o89cyS62nyfNHA+C5oNwLjqEvKqcdn7usp2kjUC29hXKJGEBHUx+kCFLPmnuoB3Y
izyWS5JvE5yiJ94g2gP6V3w1ubkRxqUxXw9J3Fy3XM3T0o1Bl8jxzc78+dT6QsM8pvV7iABzUPbr
dgu1sw/IfLVnKY9ZhLVGzBtar7uDl1sAJxpP7hWwinCO7LuCwCTl1Vp8XOy4O8KcJ7aEffrU6fGV
MPIcMp9RXyWR6DZz7DavvSXy0IOkuZfNIHcputEWQmu0bZFNiXgStAkq6D14kpDNHC7zoddrBFss
knsHSP8HRBy20XVGcZgM4A0Y78ipwntWel+66ntvr5Djx6ix2XGE6NCyyP97iPtRdrKbf3OIsyyS
g//uFPflx/TzEe6vr/jrDOdbnMZ8oI/GSk7BlcJB7W9sel2sTDWT3LpB2no9jf3DGQ7SCv+XCWKH
aatPnvKvM5zp/OGtHcbUOAIi+zwU/u//9VMTrvrlf/9jLtOwPxO+Px3iCNBzuHQR5phY8Vk/D9P0
TtOGpqr0I2+I9nlAO0DCn797k5lfwztsEJYNRUNuhf199C5s8oavuMqbh7rSHhq9VaceWTxoPHe5
kIEERRRZIkJEB6tOCZn21rsuEhW2OpROL1qVCseM1W3pOrN1Z9syM4tAY4LiHhejhZjq24tekTZs
zB6uc7ZUAC+zrq4vHq4JF4QPOR6OGKxmHblReGGpTcAr1nGU12PbNo+5V3YOROmyyI1T4k8CvLcZ
+d3Wxein0NJs5mAd/Xs5YFQSlgzWJnOmDVBSJWWc3Go2n2zQug1vjsqonLCzo8nbe6Y7O8eeehU9
CrIZt8qXiLa8fggMNxsQayqnekvLyHtf2zxcdhQKROgWBLo+cIZToHkfpqVN603Hj4BCPFXmmU7Y
RYW9ICkTpQbr9wipV+3oC0uH7cLh2aOxMT0UONlfplJ2RYAS2CHETh7TDc95IRVlU7kSJwS/5ENM
AoaL1aeXxiyrQ2qOT2klrX3ajWlgFH58yMaYtFdTxMkziwnMzpnjtOtNFwKiMHr7/lnFBVDbXN1a
BWbNoBx84Jix+N5N0RpkG1+W1FGhSRoom/AaTBklXR3xJ9/gIO7Z36jLabdWlPUPi9ez21k0jNr8
STULJozDbG2PCu/uPLyPGL3uh0U+idyk4EN2Z7auTGKy+HpJGheLX/dSFYp2pqo8ZDSLbdZXyrQU
TJnmWpzrWjd2NLrdJnHBFsbMnkiryE3f0uuUFcMP+nXEhc7l6Hb0K4RdfQKyS2ImUIRaM1og9wxU
V41wuDFTS2yGgWIQmtDoXRuH5AqHTHvxutHcEujTj24l5a6c0Cl7LeYooBrvm4QFSNOAI795SGen
qZ3nbd042n0MVQ8dNP4RMVG5cbTuwenk9FBi0dzrdcFYS9byQPGjYJyrY32vZkcLSqffdZ5DFEzY
ya5Fnd3FFL7BOtD8/SBQRJ2sOHbYBDYRawcvRGCHaBryW2WBzBsYtMJDJyzn64XaVJVVMNTr5tCh
qgwn/QBGlM194JnTF4MNFupB9qTl0XFZyjEoCJ4HTqc9OwRmAyub0lPSOOjDtS0/rN5pX/vFDVOj
C9JsBP4F6Q6ZFXx3doX7tD8L0fHE9y3kVIg72kfViRLvP4Y+h3SYR+67TQcyiHMxaQe2OP09pWWj
+5DT9nYLfYPTWoMH4bpGzdlZlfTwrkeuCo28T798Hgs63VjiPSU05qmEhEZ1lUWKacONleE3GLvv
Pc1toR4Nw21KfiUcBm4L2E65EXjTNL8ToNP1beza86nvZHkwu3Ee/T2ccDmFlFPiKm34abOgUmP3
YTTNCAtujGqYRn2ffHC88HnWRn+NZiLRjNcmQewX5XC3mCuxd9kZQ6Gfk9Iv9qOkBzRpNBNHVcVv
lo2YBVKxp3uIVWIaTRJ1sbZ1sJgHVr2ww6kbaxv5C0dDwlcceRimGDYGOFlP13mqvfFIPROmA0iG
lX9bNN2p0xr7Gn9rtmlzBl2lJt8j5bUbadaEptu1CFaQZ75AsSJsXPSLtVmMwrhtiuixyc2MbJ9v
+Ve1nVcnw4e67iJfUOVX3+O90R6AoblvZuHITZz5TbgUPtU3jPd4jMfJNLfRuleb81m/iIizZxd1
ahMDh7sGAF1t+T7lrvrc/q1PLaMCwdZpAHDdMJrTgBJDih5u88SGjjurw4ixEm4sDgneJQtFpJEo
70ZrfkHJcg72UPjfW1PdudOK31aZNRwsr/sq5rSAzqwzZLSGo81AesM0yLKCzqi7j6iy7W2qddoZ
zkWy84be2JQ6kY+6YiM1x3DuKURmPfDma8mY5GbRQEKhG5F3nnt3I8vJDCYF7X6Au7PtCMbvE99G
cidRSgtfSmTNAF6xBnsR/y9+z6q1INwFkGS4E7upPHYZhz8xtk4Qo3r2HnOmzKs4I9oF9uW+8g/N
RKnX3DCp04c1uTLBRyaF9X2uK/qBNasLe0PTNiSKGkZQFSEL3zPVF1+m/sbysnnTMHlloN0cfc2P
Ayi8H1PjPhbSrbaLP/Y7XdUypFaZNjx7xSCXU7Lr+2I60S75PmTLJe8ixlATitYyOk2Ym255Y7Iz
uTKnVVTQ53Q3yk4/LthomB+RPG9AVwdDWcrQi0ktaBRjBD02k8DEpX/jNOJ1QdTEnu0a2yTrXk06
XamyotHUmMu12Xycg3pOjSvuAdwQkrzQmGUfvcj93cQoPa75roRzWMtSslL0lxmRidOBpT/z429F
zRlZz7v2NqLlLkRZUtej7Q283E28KXr8Qrjio/abH3Yn8x3Y0YnMuv3MxImC4Ew1T7nHt1pa+3/Y
O5MlyY1r2/7Lm4OGHo7BmwARkRGR0WWfWRNYVocecPQOfP1dKIl6JPUk2Z3LTAOKZLGyonEc32fv
tVuieKr/2Q62GeJVzzcEAAmgdVNyw+yePfiUkB10YS6nEWjYbvJyKhwiIPsj3y5OqfFNUNoa2r31
lKboDWNMOWGmBOe6mxZfzYr0TmlSBDrYpbvLRo9Lqq9Vu45E4AlT3YRwvdiIXfPXLonmYIQEhGDA
zzAlOY1AfiPwdpjc9OmN4wVdcDkHoMOIrk044Ah89Hn2wdc+78/9VInnBhmLcK4+P7FdO7jUjuFX
8+mzpcvh5vRR9uFl7pNDUItqi/him3W3twYR48FIslUCoQmMqsTEfvGdfMKY4WL2pyXOXiL0czZf
uBuGcZo3S1POQeqOPjeu2vzuVKpyNjPvc2BKo75S+9rv9UWRh1GO+DLlnf4x6OpbJqP+uugW29+R
puw9Jhnr6pTuuDVY3hGV1CUwRiehWdsc/SSIHIdPhF4+NsJ3Hid8EnrIqYnSi3phho7dFT+7FlP4
+kWNeU+xC9Lt4rXunZSGw1emcntE1M5foLabPOYRVNigzizHev2EPTjjPu0TtYnJmk4JtdtZDT4T
qv/3wu2cp4rOt28G/XPUQdqun4MfGtRBTjXZ3jRPsmHD1U590wvBgrQeuqdlaptDxOEJlkYj/FC5
t8Vl14BNy9uMPA7U3tCWjI+zO3rfo9ij9MHsvKvfO+mbI1ubzpfU2bTlVGyd1JKhrOVSbNqGuoa6
t+rH1rJbCmd5KS6sM0QS6BG3Y3aJAzoWnjH6WFU3XyuR0i1gtNku8qZ+Z+Ax3Up+rru+dbW7zMmi
8q7xivSN0yx/4xE3vBcwlp/yrI/wuHnpQXcmJt6ocY9NNWpZkELRyIPZncCVmrQT3o8akXN/Sdqj
r9GqESTkRiGGF/7RRPikGlMRmFJ2JTE9xPoWF0/70ANRftPFMnx35DTuRVf799S79Fc7TtqX2nJa
jEJdTXs6iRnSaWsvMtPV8uq3fVkTeXO66TnGa+2H3JMGf7P40oIMVch53KYZ34d7IgC4f0RUuC9T
JBb3PcaYu2yozubJKsCQ8EVsVR/gEsPzYee2y44jTz7oRUAdqL3hCZEDE2uXVNq5qFT6EZVgNdED
S5s+Q1UchqHSNxlhLhHYdq6JoCun8k2PVPQw8q/uVcnx2pb+E9UwFUNYM3ytSrB+Gl6yHeJifN9W
jKRFNTZ90Jdj+Wxghg8s3TPvJlHmpwwJaockQg8tclYotaXoAiLpzm4yqumhsB1ypw6MoIDNWL4d
M2M4lRU9RLaZVXRrslM2pRXNjwLzWn1VcaIclsZKbzAaQi42GRZKmfhYSoNhME04+IybqSCMmnvN
ZD/VPeFxXMbDXAuv7faZn5RsRLJ5XO7R6+hKJhm2LRZJgTd0as5RJQqEDFgt+z5xnTeTAsRhg4dM
evsW64Lx1XdFtNEpaoxP6Tgi2vERblloixhkgTmMVIVr9H4GSd/Wp7HX5H7ofONRNT13AaPR7gB3
AMtC0j02UysPLZ/JzdBb6UlmDm5OegV/lm1tf9OrHIxJS2tSRtWtfO5yP0o/AEeSBiSHdu75PoLV
XxZn43ZC/KiFjPfuUDKCG32igVlsvdclg4ySupzOWx/U3A47+fKpM1jfTzMtNwX349qTOqK8PRwX
s+kfJMbI9wQaweM0GQhPMiW0Sex14ySGJXHulNQVrck7jFxMB/R03CmMDmFLno+m+QZ3Nz/jC2ax
ctsr5dMjb2TbmGcdw3kz01sNiWYovIMmq3FTc3F/BA/n79pcNz8dbER7OrhlEOWcTNg3ReCldXKX
xta4aWuHtHRaury9XTJ9LXxthCxuXy2V+N91vAUEyOhE7SlllKY57xuDxG8+DPEJFo9QdJ3Y05bP
TbOTPkJfM+fcb/hQ6mwj0wQVq0y2fsFjPFJa/qVjpgee7JV7DUvrBkwwXrrJrWjFwBYWaro245Kh
d6SO2FHRLKpde2uZH+WU7GE6YNzJ8fM5cWVBTAE4CZIjSX5I6dpnrGbYNmQTU1eu8d3tVjKQzMKZ
UuhwaXH4tnk/8tCZ5oek1/3LqOJ8m1Wpu8/d1AFKzD5K7+r6SEz6JiCH4BbDzxgOpKlpqMk2VU3e
kMGuEZecVD4LNz3fGgXGiKxgVxTTJE9UucNDVqZJ+aHJ7qOxvBxvj7hjKWvoQS3H70Ssuz2LLIKz
JfwHg4sn+DIHJIuq4oK6cAv1wYvdjbsUn9BNk+3IuxWYlXonlXcP8WNDgdr3KiveuwwbLWwUvd7S
s5PXgbKsLcWGZlDQF3XMUjJHeadofYh10oEkE/VQY3tVbNu1qQRba3Oq3azi0wKR1aAwJTRbticU
a+Y39Add3ww2suN2lOydup55m7pyNlmr/KNEJw9+A4wO5sGyjzOh/5gqrmhZn437EtgTxOLGfMh6
D0VAwlBJVH8k854Fusi9I7oWDJtZHoR0MbyZVJ6aXjk+LHkS7+K0+cp9jVFsrtJ5Yy9ZeagGOebY
ibr5beyxG6H3nC36U14ZpZ5TrcFd3PbefeJaU0jKlMGxZk0xLU0HSUFrcVUOX3yjOU8U5ARJZr5W
GkcefCib5pNWhBNQ7rdEGWXAKoeqAF2MIf3LzvNSkxd1lty8r+bkRPfnB0u9bj93yVPrGj9xiTL/
zUxHbGqrp6Q2P7BJQmAZK/s7zgQIiHFrbQjCvio89z+lLDWMS+wiewI/QJE0JQc8Pm75KNjV0GMa
Z+QkpCBkqoPPCtQ4tggU8/TYGGAfgkJEEbJTP007p8NHxvBfGtxxlIMJwvIfKw4sPJ6WU7v88Qh6
03yb9Cxb+A64et4ezYpRckljxVUn2vBWSe9Mt4u8jkDKcLXnWk1mN09xz5lLUW1HURjddtATeSH5
Jg78Bf+IgtmfZmw+2lnN4SHS5OiTOT3ODg9Xw5q+RbkcsILRg7LFz2AHnkfZj1OoIyHanK+68dry
SAoLY+WfmqsWKKs4nH2gx8SycEc4PVMevL87sC92GHcmR4Kr2nHaZ5Q9eGPzJRbLUfGBD4tU6oc8
1s6R3zHrFE6zzRoPAsvYgzzLvS09T8VROsh/jc8ilZxzw4pRYfwA9t/G44OfdZjAaMkaohkkr6oe
GlsCJStn71BRwBh4Wp+wxWbt6sHsuBIOfUsNu7snMAyApYUxFhcWSERdxtu0Lo29yrictc7QHao+
1lEu+jrQc+e7nCL/YdB0ZLhoSsOknr/kJBRCs5+tHX7cNMh66yuWYONpEvB4XDVPbZix6/rhgMd4
4uzD2e46bejRlnhsG8Qo3cjwsWn2ucCzi86Spua21fN877sV3LWCJpjFAh6Jw9Aftl5sYNLMCCwe
G56PBoCvHcg0+dmRyvhwoHKUm1xblm85/XEqNOZc+6zdsr16eqHtMx54bWB55O9FDirdy7kiYSvK
SKWl4JzhPWzhZMxfmbP4asWSmsLMEFfA2dF56ZPhm5a6P+PWmCX+Za07NsjQD4uyo9BJPdAoMtWn
F/Yiw800E3u5tArfMHvssr5DBV1r3XpLwj6m8MeoU8OjcCxVG2mmIHlggsldKklD2OAjLgbukhHP
a2fv02h8nmPnhQnBeQLcWu/iZu73fA/mLQw+g8uVeJ3oug9kUplPsV7IsEusqzC66LNUOBmzMhIh
hD8zBZJX5tr9ZDLUnAo21UHTjwnmdb9Xu9htaxgqqTscbZwYS+D2uszu4mhSq0hEEfGEFsZMU7pG
wMowY7ybaumsnL72tZU25oBG0CqEfc9nE6qj8c0yi8KZc+GDSmTfukypoz+P/AdwPTTD8jaADwz4
GuMUshCoCaaTCTpbgxxOHp8egg1yoqGkqdLTAvak3fDA8gNAgzETE+aHgJ4rug1A7jAJccp8lLnr
fQENyIotH7J+T6qbsDVrf4ZWQRooiLViDPGFqydnkD3ik55LN+AaJngnyB0UZhd/dwj1xxugQbHa
oKnNj3M+qjy0+KJtl0bh4vc6Lt7K5BHNCFrKzWjJnxPjNW6E5mHGJcaS1mW1nLM0c+QAnDsFKaPi
0XzDx1KpjWNzYC+tY0AgqHHXkkMAhkYKgIm3jesb1uXxTbPT4WglDbpMufji3MJ8e8ulpl/0cprv
TEnZGJfXznoAx+c9+jiLy6A1Iv9e0xLz64zR+QgCbHwyTQsxVJnsQ8EUcKwGpSMqk5kxATDndLA5
vMnmiTVMqIKB1fpxdkHh73me+K1V3GeGOTu73p0c3uky24KJiVny591twdSWBe4ssbIiQz3TjxAf
SRTmYUVK8ieWZwOjecegtrhEYVA62kvi+1ji4ixt3gbXqXfTirKLa5uHGR+pDZeddKvHHS4vbaKx
AGn0vqVH8jBOuHxIuOQnaVQVlnLP0E/1Uk8vfVZhcXEVHeWJNtnQKe2I46THzpI38uKwyd+XiRFv
qQeUd/ik7NCS9EIGWjv1Z1GU1jvqrcZDbJLPOvPdCYbGtBt6pn/kTA+VRktII2ZjKHzayxS7DLof
uvI89P43bTSMLYdTtHcTpwd1uxhgC/hqWJmZbNMGTEViiFulXHUAnz0eXc1bpsCN8Ov23DoGJsYQ
vbk9whcazlrr5SdAoF9JhhnbkfDcLhPzZ0yqJwSMyM1AZMiKRlSilbXzq5Za0c5rDToQTWweGh/0
u2Rk9zq2M72cHVy2sM4rqmp9Cj8TSxGGMABO9E7NLKsv7Uda2HPIVWHZwzMBjeUZ3XATXo0ObOCw
3RC1GYtHRYv7Zk542GQQ5sGqQOI7aV5D1xbrGzRWg0mjTnZGLpbAr5eLky/8fT166Cw1X6e+Qgce
81e/M9+tmMPa0aptalvL2j/66VdknPyYhcdEjHrTaYW+qTyt3plGbu8nmGjwYh4XAVCqJkYZ+oMO
zSZerlaSWkGRNW+ya7KbGw/7SDP3DFb93bjY4xdNsQYxLe3d0g2deB0TMpmH9E6OPKiVGD5LP2se
pqF5GGqzAEhUCx7txnoRTArtCg5/BkliJocGD8cJp/13+jCGc21WLVgmZQcpazCEHt9+7yeKYeNS
nUYpFZTFv7dd/9d7/J/W1hiGSU3+a/PxC8a+PxqPaUlef8Hft9ZwbH/TgQ0gfrkEnP+0tTbs37BG
UsVt6HRs6zar6b87j+EsYAjGL/RHy7FHOZi+moQNzyFBa/7vGsD+nO/mJwLkYOkWxOJ1U/1P8IW6
wQ5Tz2I++6wVsfuLSc7z7lccsCxt65CrNZk7xrG8Zy3TfTfmGexW6qrbvIZUW2qo701O3Vs2DARZ
U0M9kkx3bpyyHaCqulA4EXOe0/rAXacsXTuaHjUP+glXF59SEvuFSckvUSZKk1M8nkYewnoRaVe/
ZEdxrNsMpTE0ad8VPy3pzemwn3COKOJx3mCk8E49pWVH3xPNiB2VF/lJq2oPZc5OTHsbZ1O73PNa
2kwkOUOZzm/LY16yI4xLMwb8Zy9z/9iWVBMPU5GCRSsTZDwOMlJ3bvRclWZC1JEED3+oelMsg/Z1
SsoU1J3NgCDLJHtQtXPpFSrl4gCSSepo+IxS+aMxDeRNYL9kfvTMCn3YuYUX+gTmzIqi1jGFtBYs
Oduf7TTpY3NvMiNXRphx8F6SOB+1A8AftOE81+L5SZuNYUEqj/NsXbRIonp3ZqqS4W6M9Lpv9oYe
EyAB3sX+PFePbkEi5SxVxyM354lrglb6W479vwfCfzgQTNgh2Pf/9YFwTrtu/R8a1R/Phb//ut8T
CeI3PpA0f9HfZgFocflP/o5mMQgrrIACvuG/HwjWH6IH+m+EyMkF+qZN4ZVHk/hfbCr/zrbyl9D6
2jTO/sz+1WWPC+avsO1B70XCIB4fGlUtZ71s5zu6M8m7sghDttURkr+pYWy+MTxF/6H03BV/jZ/7
zlqDaAjLxVhm/zNkwkvBp7KNO5RZvZxxMS87zexQWpYSizS3WX3fN45B5pDOXmwXv7Sykcffqbbr
+WWJBvidNfdcpqfcRRvyjbkm4ROZ6tamgFq9WSPyL/OWXWGX4TW9j1JvHrZVtw6NRr+cfS/GmO6T
VQjmxFY5drdq/OFlAoQVjMVl14KN7YIMiM1jA/CKe0qk7qgcAwvm8fNKK5np5rCjY+0oXjeX5c0J
SQ/4ZTRVkDY5X3dCB6JdDZp1mAdWdYGb2IT+98UM6rJ9Ik41aEehksmAQMy79H2MrdjdTYh55iub
zDjdlkNM6S2lqprzkei0HuNem/w+uWeNAdeGdANb9FtjeugiXiwmfB+MjbB689mIH+nddnd6kZcN
I0Nc6mJnklrU0dBpGDwY9vpvxgYFze8Kfbm6w47MIQnEhH0r5OE8ZIz2YgrbBa5S6tBcA8sP2fFI
91x4rGwRV7c0G7kay/Jqoe5+2amNuBHvC0tBjYpA/NZT1Xh3g7tsev4f0i2ubCdrxosnMhSGfHVt
F6t/e8GxuZlWT3dbPBDBweDfluRAOmIiwt/JX0bwcfWEs9nZNXYjb83qF3e4z+lBj7EID4LP/gDY
1ku+esxp/GIVQhE0EfGhDvs0d36sut6jWP3pja/oqGXlu0uIGx761ceOM4f8fpLUm9RrqwP44f5I
peue51HxmKxe+JGgC15YoiwIss2dZuCZ57w9KH9+9uh/pmjA97uvDvvWxzJPvA1aI57I1YGvT315
jzTQbTvJ0ydZnfr16tlvAIzdxTTBfnN/Wfpprs9ugOiaz/iX5V/JWb/4s2AGZ3rXjtWveMC8JgVA
mMzcV9nuWGbxnGnS/HDJksbr3P4thUzx6q65AxsU7o4SNPsAP3sM3DWf0BJUiFh8fi5rdsGXNftm
zoT+s126bbaklN+saYec2AOcdPIPaxKCAhNMMW4csRFckxL1mplgM2d8cNkTF8OriFSYU3+gDKRA
EJr9EOx899ytGQxrTWPkVmndT2tCg4UfM8Ka2pBrfoP9RfbegOX94B0t7tSa8xjqpdgDXYN/u6ZA
gD4SCInWbEjaWsutcWhELtfkSPkrRBJJbqVz1mPfpE+PY8VS6RmigfUAxs/NgomvxL5QbaQFUqTp
sXJj6zrgsjqNa4ZF/YqzWPOknyXA73Of5M3zkA/TupqWQFviaqspUjGQ/LLXdnT7e640vrZVAyEq
LqJEaYw1VYOlMTrIRU20UODb0TNf4LMih+OMJHLgc8xvuOJJ6fhrFp3cTs+KvliTPABwdRQWHB4G
MR+TuM/s6FwHCADJnCTQsGaCoMcUe33NCVWOJDFkdCMd85W3MxOdsqs1WSR/ZYww4Oy4aTGOVPb0
kNVOc0nWVFK95pOiNak0rJklJzLGB16Q6KpqObzRkY33Z0058T3pN/WafJp+ZaB+xaHKNRkl14wU
bzvfFm1qwALn8ruluf0dKHFiVSqi6Jvbp41TjtSV9yuANa5ZrMxkHBOdY/4kMbB6h9fU1rzmt3yC
XLCHx3MSlTfuSv7FXNNepuD7vzg+jdi/wmAEfDHMrAkxv8/9i1aX5sOsRryORjf7p7omJuYTLyt+
Bc2MNXPGFsbeLPZad4vLSR3S3IiP0EkJyAn0SF6M6jywRySoz1Gz5to018mOZmMb1D0xR+FE0aKw
a9z5W5JNquUPvUbkhjUt1625OVSgrdIJUfEs8bdRU5tfsjVnV6yJu8ZO02fWyN1jzAb7gn6pAm1o
yGUMc968dHioL8rB/jmuaT5W4DpPNLwuRUp4ffXSe6dqTQCuMg9J7jUXWFXOdNTiciQRY4yXsW+t
o0m3+E6kTfM6seK9sVSPNrM9LrSAquSBJ5v8cP2h/ir6yvs5p6sS5vYdXjc//j7hVtva6eJjIJIQ
wcVwP6vO2aB39KFW83OSqACcIAxM+Wx/ivFTlsIoICNPFt0cCyM5TqTmNRqqfstarz4Ip0xRKt0s
/1nZRrODZdK8ibhy3S026/KrFcfiriIvex6MSNyPooLaz8X2kMBG8IfchCRi8nwLCnTZS2/r/jUT
ZXfOQUdsB7bex6bW+nPUAxDJ7Ny5TAUOVm2shjf4Vi4mCn9cOxpweuJXnIYHGXfitGj+/EO3hgK/
OiaBCtmgie+Lqdeek8RxP5q05uhB2LfZxIJqXQ9t9LpliaItJaL11csr65LqETviamRQF0A7QGo4
4s7r61+fiSm1iO1rDSvXpA4V1r3PHP7oTk+tT3vo6rMWV86TiOMuAIdtnSaAyByDs8kda9HDOKpI
yjjIvYUFgbiHPs1uZ4NkYJ4H0WfEtGoi4bjIbnVsWi+e6Met8rRiR42fQ2FhVqEXu5Qvujwcizzt
wMFY8jBjHnjwnNhmwdSSYWadsCC/jf4TGFW59mKYOz1pjWcnyhKbxKa0b3nUQNA1R+U/FHHl3U0J
D9lJt04iaife9tLWz41unHvbVUe/N8XWYMH0IxlSmBv0Cvn7qG8wsGjAabuiw7oTzd0NM4a85bOE
h5CY5l5ZThVykdLCaVr85Y7iPO+NWcB8VpYPlXZwLO+nILD3UdbC2bEueXcaagq1zH+wzLbL+PPp
q4AyiW5vcuRheeqzBJRPqx1coJppCK6vjXhoN8u3VLZls3ZpTEeT8KVT83ibEeb4aOJtLrPcuZEi
yMGy8LAeAHaxs6JRIcNMsRBEUxzCFysemk3XtK80L5XXcRptyd5At+943hHUsId8UwBN2WmI7nuY
E+JKKZLiqeClHwxoLgvcjJVwM0d7Nq9RGCc5+BjPgI5LFDg2Qj7ZxQ2te0zC1lYZ3hS9Znxlpbdl
TzQ9uu1KV1is6eDqc3UFZTzxPbHclg+H731n8E222CrMu5xSMapiTIZp7qwrk8PUp6dRL+IXPa+L
F3BIYkf0iL2REzXNFaO4D5bNZVqJneige3Iog5i77IoW5QkWiDE6pMMI9ljFVnbMet/HxTMaYDHS
2K/3ZYM3/YdVZl7HVTjvZ4prA6sRp2hkRaN60R6dImkeiPJYZ9tu54vftMbGz9M47El4HZNqWpA2
+/h9ccV9ZrvPsZtOm8FML8AeDP6U9rFEh/2Sera5khGoA4pcQNde6b5jADcPswYwfpwSa9MMWreV
1vLZJvPX1NMehMTWQLe5y7WeorkO0ncIMXW6w05FTAXOgOKKcJ8WRkk4Kn7hbbF2A/j10O/8YWMV
DDdakV5HO7XOCCQfRmdH7B0R0eM8L7i200gmy4IXpoR8UZSsboSFdaH27JU+DgWBQp9dwtbhKNLx
msBterVaDKnkW+oy1GlLwGdET/OiqSXEA47jlG16gNnxDpM59ZdpZn3MmkncL4VpXPoC2IvjXZVL
lReR7/xc8fH71Dpva3pO9Fz2nbuX6PRHx+z08xq524wxgvUiWh5zXZIeyA6J3dwBZZZQX8LZhpUi
ca9cQJnxZIfAdaVBoMCtU2zTBUIVHJq2D112u38LyfwpXfHHNMU/X0tBWVqUM5C6dwX3wz9HKZLI
ZoMwiPSQlWvzhqY8kkGL4JR2htx9svWKGymzVMUjW883f7iu/38wodyt/xjG506Mgkf+WodVRxWq
/5fffGErhldFpgdD1e23JWurE0asBBXJzx///W/1FxVu/a0sMJYrz5FM5j8V5aVNmrkKSelgSLOp
tnxH5gLDbFz/+Pe/z1+r8n79RraHEGzAbTWgxP75Bc1rqJFt7sWHQUbzLhGtTQIY8akgCXFr6OX2
T1gEdbxwdvkpQQPFnCpxcoWbvl6uo4Sf7teP9F/96D/pRxT1kQz61/rR5cfX9rPLYdv+LVd1+P5/
/w+UyPUX/R6Fcn4jTIVGtL6tuoNV8h/iEaISejPGTJds04r2+4eEZIOs0C3TEqSn0ESdldP6O9ZX
/99ISOZf6RVoybRLE4jyPd1y1zrGP3+4Covd/Bwl48liVzgm5yVvTZO1sGU32VydaMSwZ642KShR
JgJNNEFOy8mzI1qSzKDRn4pSRAsLUcs8t0bm0jfSuSeVoYAR3dMAtncFEC/TarVdtaTDu00z06UV
XpNtRtMfdn4v0ouphMXJTedhIMcFGRi+U0gC07oA8aMihd3/Tqdk6JbnenXDCzI8YihFe6b6LH9t
52k62lorcBW1bvWuN6D7MHBoRJ5E7T8WiSgfW7PnFp0vhw7sH5AGL765jbM86kbRPvIYjHbMKe51
oQRtq01Wf8wlVnGFnyIcXUNtAYFzVKaE9Z+HlMWT55UNaaM6YrhfkNabRnY313OTtwYU0xzqMBc3
FqvbnZ94xpPnNMmjo1z8vro9skHUK4UVYzJPouleONB7rChwY9vAHi2uKqwPn6t+yEPdUF8R9Fv2
q2Pe7QEipKcmrTJs89LpvqTVgmOy4T2k2yArL4LMzg7zxoLvkgOFdjEr3hSjILNCyEsw5GrpzfTp
CNCK+DrlWbbzMkUtVeJkUKZ8f6+jXZ9UUg2nSjPSS2KUrsCcOc1PM2wlqpf8POyZSq+iVfiCOPvO
XqNPJ7p85z3nl/WJ4FYfM9/on1xhFkDKGXe2YBfxk7WJKQ6ltIczLYH6rjE8bVNFRfWg9br11M92
/2H5ZvFz5jn3bJKewO6gqivMEw20q7eLHb1/57WSM66nyr81nSjfrTYdd4woGFiYjJCq8uVu0h1t
C6tIfW+mjox2L+tTpii4863Vc5nxweHShMrzzbKyoQ2ZX9hhaItFSaEqSK/bbpU8VN2o5xTANHTf
kcEPSr0ed6y/l4AlyOdojuIeSBXEUMuRF7s14hBHLKloE5d10pE/V4bmAyvQ/OwkF9veF7EUe310
ix8ZDRE3XTLzpDnryJzxXQY0YWjfRG2JEsx+x5q+mfCuBzx9hnu8ex7nV0IgOOe5ihcso8O5cN5T
o9TfWpWpE75s6kvtbjinnsT9U8tmfGi1ePloCmk6TD1S3ZOFiZ+pm3OuAkmxxfR5N45edUvB3T9y
rze3uQNwAYfAkpd8JrFPUao10HzUY56legSTXzdVdDalwo0OULGhkPhGe3AwARSBgDFGDkk1JACY
18tXjhF5I+4A4j5udBIxJbFuTepnL8HDS3uJlKHXEHRivmuuZVzG1zaxaYlsXOtLgYsaph4gibcu
Sti7sHmdn1w3t+IQkpO2XYA47x03Ko/DQhIjKPHORiGtcs64q1DcrhnoYCME95WXF40rwqtnVNxH
sZ9ElDc0TcRJknKJWsr6e2EQNyWyUKqztXirsT930nyD21d7xYpHYjkzHB9al4bFw0rhJILaqhpz
p0iul6hRUj3grDTe2i6icyOWZiubXeESllRngw55hfRqrfW65q4dZVz6YTzNLm2KCiaC/kTppTm7
L3jhZf/YW8kw7uum5NuOi9bsNMDqIiuV3NijmU9PbaZi8c2O8yip6FEv9Ml5KcdsarytkI6W77Rh
6LPvs4frOEd8Ndr2b1D2/84B/2kOYMqk+vRfzwG3HxhJZvSTKv3zLPC3X/j3WcCDX0Vu32BMxjEm
+Kt/zAJC/40iGAP/PvMsmft1KPx/C2b+Fj4/HbYki2CHCeJ3tJX/m8em2mX7bFi+ywj+vxoOfiGE
/5CKtgUltRbEdt20oVu5fwW242/p2Obo896hlAObz2pAw9Q4WRczQuje+mYGbBbfTVvupp6KoACz
XHuwRY1lYmnaCcovcFifwExPYXHCSAR2gLzmpvW/IQ5G18l15/sSqy4IukHRsUMHLCE9rUO8Nmb0
PkKxMtCsztC2Hm63PsCkR4KjzRJgv4ZZv7bd3B7nrEkuBmnxrYeT7yUyNWtdg3nJtvWxo22Tumye
4rxV1V5vCBNBgNC9TyrmyCrlRk0nbM2aHU1Msuzh60lTaFLtU29Jf2iGEX+bKCY5K37NuzPXZF14
cNgnrmEReqUHfyDwWDShBDqxua21ybn5Ii7uRyaKK3bm/jxOnXZnRBm3QT2izq7uR7UFMJzvMD/j
DmJhEYdKTQPOIhcSSFn6CocoCdSxcKwX0fIyG5pHGmxAHV4Vb4QE+H57E9rG1vR55e3UNo5IL+Wt
1ywX09VSPrDPqVnyi/aaUAVK1EbPqyNbRRlmYonCfCKBbPom6mArynPlGaRTZkqWkoBVEhiVytHf
WD/2p6G23zsw0U9G11W4cdsIRq6pZTH02kHkVL0O1qsqcqp0B0vAdIozFY7IbYThc9w/lk7nS82W
0nHG7nGt6M22Li2CR+oT9Z+d5lZbuzQevfFW+gUkrImSZDvWbzZ28TrsatMCFdYNH7go45e2tNQV
xhlmntLdarSihQ4jRgDVtLyzKlUc/aKNTr6kU4hxwT5j2XxLJ5sYTc2Fc3aHtUA2jp6IQzZbV3PK
/cRDW68NOK8MRI+sJvUrqoO3iZQ9HdbumjyzxLa0pylMMKBvoqUmvewDxyAREjk7Hhn5T3+avuGi
03bkLem/S/rCeORDDt2axwPD8mrdw4m4hU1HS61l2hu3ch5qPm34LEn/UAYTlIK0j5Z070vJAo/c
mLZL2P8Eziz4KbvECeOBjm8DE8WxIFj1btP4eJCIMY9OAR1gth3/6ImOwJeWwGMx1BgWOBsv1tjw
ueFjO0Esov1VzgnFPxXWrEwHQ43qMDhbYdAwgUHyf9g7kyW3sTRLv0pZrRthuLgXk1lVLwiOTtJH
urtcG5jLJQG4mOfh6fujIiJbiq7Kylz0LleZaSnJ6SAJ/Pf853znyulJ0Hd3jsrnSDzjbZ0StF8x
ooLYggBYv9bYrWLvcXSmjD722fC9HsNgao9PNh5G4vh2Tc3yi6AQWG9MWydHB3DBAzvrMH6d1IIB
sxc6Q0vxIaWsKHee+flDcut7s/Xq4wo0sWcJ8lNNKONmQxOEYX/CDlrow1jCKSLcQThlRQXaoopd
UxrN8DQkiRqfujTpQW9GkaHlLSzqQb+ladcsxRrrWeEyyditFZCdp1h2aEl3rvmYRdEbVHAyCToW
SFWIxzkfz7Gczc2EMy/COZdM/PreOLNOzTB7eJs6l10a7QkGqre+LMheu6nPivWNa+SDRMj6joBF
V0hmsSJMOzmtxiQ39pEfJck1J9Z3WFXS3uG4UEvLwRXd0FJsGZw3/nVi/0fIJZaADvL3ntTnsuje
i18f0r//nb+5wDiVE4j0gEmaJjhLHvx/skuE8xv2L47mVGCYKJU/PaSxjpm0GJiWQ8GcQgf720Na
qd8ozbFZQ/2okXCU+Gce0koyJPwseZnICI5A62ISYIS4PvP/rfp4f0yKqP3Pfxf/qyKwQSnFHN8x
55FCzYycjOIYW3ZAADmd926ZymLbp1FM/XQiq3NElSUZgij+2hILLPEc5DwRPDOup0NMnhV0Ues6
HwtJuE1eJGRKFe3ip7Lm2PGaLEQIynYxv2oZTT53opRB/2p8m9e5MQxyl9A98uzCXKchuvaH4WaS
STOeG3TNTdxxmmMjhF8ynZ30XCGuBaIPO25wxsns5ypZNZUHlV0XC9GbufkM/rvZYI3PDmqYWKLO
2qPQ0zZ7SLkyUltqozmy4New40A5cXLOhnI8sBpyqbHtm8NQ5roiBVdMDwPhOUv31rq0/NexmOSO
ZGpHgCkqr69qXvTrZLdVIHsc9/08nWIfS/0eHEojqDlLBcTZvsw0q1GXbkC2LwUCG6uBpkXqDdNF
rHjnucpQvcR9YiX2jdJLe99WtDAfR/xsH1yR+Zi2vg6bywJu+dA1qjVoGWpAiGx0I1aV4pZa7TiX
AXayJms8l1plicr2LksqysW3DttZ8nLgDONO7jV7wbKegjatKNQ+YtkAYL8EokVNwLZBTZNGf/Gj
ZrKGg8hT4Q9synwc+91qEo7vpYfIM1y3wsmOFo74IGgaoOMuq31j+uoXbqW/+1q03wFisCe8tYrW
zhE08lBsnY54fbvCiu9+Ap5L7qXO/eFE31964xBh4kLRjxsTxun1IVF+AU4ugxctgKP8KFCjf2y8
u07SKzNJNB/LCXjmTBsDZ2ghbjz4ebA8TEqOkyTdpdDhBCSIx87pFa2jVEiuE58tWpDVXQR3pXNV
oCRXO7C0R3wXemC3ySTEmnwymy2Lqfa9tKrsw+pqIZHF4VmtYKdgyfBCLwPlpRvIzTzpbloJMUvJ
KGMLQKJjr4r+c6wVHYwLRuJ7TvQ8oIFkRp+jRpnHSCso9eC8d7DoirXLjztjiKl2YhHTQ1F2YheP
qafvIC24q7z2mPVSy0yPbHXAuo+YetYePctXt7p9m5BQh7nQZerk4Nq+KVhMrRZtsqrs43deo8aX
lIst7UW3TtyyquqVczJdtyV5mYafY3DnW7qhh12lQeOlNXNfL9zqmS7PWxvo0MP1k32HNchcIwwW
G6cWZyDRM5l36ho8ScLWI1iCGiUr83spOEhDXYk+RdSgH5tajadySLN9y7OfcnUn2kHqSXchTSmr
ECHsq0XSfUfQzH+KFMBrR3oIXSlxUsu8o+WJ9JoROies4Db6fE3MRrfjq12XjJ46ndCfEmm95STK
J9brC5GrMTPlIyDgHktFK78brhfnQcfV2KaLhj/WZR+cX/yA8pCW6oweksQqJeH1VElI0oEFTP5D
eXN0sTWDJZazxv5CkBpIot+2/BsVyFWPRlL2PFT69DQlj6ZT3qRTnQcehL1NOOhpK4vI20/IDauR
8OlVKpj0trMJNK1cYCpHAVv8wmaWFhOuz4Xe0wc+1uWjZ80nfyRTa6ehvzfcmFiqJ8lseY2R+Ctf
Zd7XCcHp3s+8ZD/AFPnqJqa/zkyqVVZVjma8mUt17awVh9DRj13eeIdZDhOD5Gw/CaOs0GrG2WLp
LkP4ScszkX6xplI0ImGGvnKrs4E7e2/KzxAPyNKi5gKXF4pAhunYBKFGQBqiWh7J3CQBuO3xNY1b
tjZSl2crq1I6Ntzpg4rWYTNYsvsepaOBaFsvGzq6CPEqS36yiiW/W0Ti3w2TtyD7kNMQWdTdW01T
HUOm/Sc2pHiWWbym9bYsW8IVNAy8e1XfrIlflo9aGRQuzKz+ArACxkqxRvw+gbbaF0Phvkmro7th
4aO1WbjlBHE3D/Ddo3gkssqd3xuJD7re4JytmnoPvpGS3aiwnqMaH4432vFN6TfVfQ2lb93VaHGb
2Y/nbwkFk082fEoqpK0wXrfmnNWrWLTYTabaQQhjK7k0M8QEZdXfOPQyyXMIXknbKs+TJnxryLo5
LUVJMN01Ntgt/HM9WDa5nxlU/UE6RnqOTVGvhVVrWlYH64JiVp3dypufzFG0OEqc2H9U/tTtBw+P
S0lUHw9DqMZgIEFxh2iUvua4HV4jr2juiz4LX6o0TI49etsqxuP3LBo1b+Dh693cDPMmRLTFnlPQ
QqH4bbEyIJF2B+S4gQnZ7Z8BnGAZS1Bv1wZWioAlQbmpzdhEW3UjuXG9sLwpRkN16LjjfKS8JE+D
pOEQ7pVKch278ZOaXEKjA70g85Sz79Z1uNyIRDgfFv++EZRhkdzTfTAGjjb9VzD3KNlq4UHvFWZP
11LUJlvsQM4J0E91Cd2hQSK3GxYRUeglau2N06mvy2aL6Y5M9L+G439sOGYD8HeH46QovhH0+ct4
/ONv/WmG9n8j98ayioWWFI76uafS/Y2Vlc86i+62P3zSf2pY/m+wSKj0UeQqfMCdP43Hkp5KH1VL
SMhtP9Zg/4RHmqGG+fyX+ZggOiFwF38EL9C0flTL/TQfS2wZeacK81iAz4zrPhDK4c4ninCfdLSU
bFIlCatyM6WwfDKkIFVedfLbBPG6JUGXFMBxyBdOYC99YoFSL68UrSr1ImhYBifbii+RZ0XPOQbC
IImAPgxKdVhquO0tI/G6bVJqeKq0GrlnshIK0I0z+dXO0HG6h85QHFnBYKKc7Ies6eQXomjhfDTb
GtMTiZXuNGhfFc8yDXv31C5XfxEE6BFTh8pl/1Uvc0OZQTsFP2p7fXxAy9yOa4r55rVsTO6jruzf
qJkdYx6nQ26cU5nY8O+a3K2uDbr2UxRmuRNIcHmQSyijehaI8StuqsXCI1UPzkE5FE+55NueHNUz
2rsEhK1Jf2VMnDeJmyRBa7ISXw2DZe1o6buQ7U/vYRqHes8fkefZBbWy7jgN7DkRd6SgMNJvOmG8
Y8dhx2Hitjg0rWsAfEAlqX3LR0PyuEsvsVvbm4XKxEdhZvZ5+OGs7HpXHHqcK+WxW/zwBenQfaqu
dommm9kyNWEnjbVuKzs7Zq0iAu02of40jE3MYshyA+x+LtegGnjeT8WN45fZERcy17LPYZ5ZTov+
ls7zeOz6LvLgfFfxxk2c5RHbtErMXRjlzT4V3KQ6VpArQGr7WY/IDK43cxNUYc2YNofhXmFv/FQt
kpzlgox/Ae2asR6NKOTYK1zj2UvC8rJ4jnD5uybBvmup82bsMmaTHQDI2WwPcXRFMuU6o9H5Ha8P
lU0pnNeVbWcc01oFi7BSt4sdjiwTQiY6vxCsbZdHBBdn48cqQ9wqUWTpEL76EZlrYscnBduT9VwR
HEUxxdA5AjMJ0VwmHD+F4V5Sdj54Jw+Y3c+IUCRUyfhC1LhV9UIayIYeOOXhDYa6bQEp5ZkI6cMk
YUM0/JhtBOVmlQ/zmzDHZeu6SbgNB551mW4PlDvFm8Wp9anODfNQ2SrddmENqdmgtCltCeG3Bsps
rqbkhkpmAp9emRyNbF4OZs1X00IbfvZn63OB/hLUgkFHxyT/CUcO27LgCHqDT0Uf2mT8Qn1hdkOs
IDrWjguPZcnNTYPpukScblXVbxU+HPI69Rp9pgii2sDVWlERhK0r/mYv9Sd3Enrlh2SznZoIoY8l
wwtM5Y1rv5+jU3H1ZbXEync0wD91MIJWV7V8xfM/DBQteve8en3UnHNpQJm66sCBvv9WwetZezEu
Z5cv274mppi6FUeQCG5UWdeHYrSfapk9ghw4LSLc+ZhmsN8uF85vu9JsUfui8bEF3M7kZa2h2JOe
4upHThx4AxiVmoKueTpry0BRtvtp21RZRzx0AVwcqhdHAkgfC0CJIs++ZcpsgG+MmDGzuH+C/nBm
nycCv0OVrjubm2DindW1tp5FFAQ4tkpA+iz1YCKYb/KpKQjHDyOfraoVtJQxEVhtjlWOhOrea7KP
hVkIEKnp34ATxNTbSKxXodSkezu97z0Zr/lWiAdsVg+Dboml8kstZXE7eUq/Z9e7WdqHLjqcho9d
VZZ6TCzQTLRcxQFvWLOtpuraeBB/Mo0WCc6avqMLiz2k7j5owQKvHJw6gW2E/k0P537Tclt/6CTe
u2hx/EOq3cfQaR5GQhZbbhMeWCZjdDlfO90r9xWwAsC8oazKTt9qqx+CGnTizuSN2prsSW/tyI4f
JeCaczOZj0tjdGul87c2whCm/f6OCQn5mWUzMyOl9EX72IKE4QrBf+hNvdUylby8Ur0DBUS+jHk6
0FI+cXKH+thdMniZWytfwid4MufqB5tFdPoZf+azHYH7zozhvV38T05kHaweE20l+mqbZyySY2vc
tmNzgIOyY3kTchWBJ16PoDv8kR8FlouNTXJgb3bWhR6ElA9wWmLMp37kaNcj9QVCPvZ+dYJu+IIJ
YFnRd7UxS1oCudMipvufQQu1Ab0cYFC4l1aGd++1ctfimXiEZwOqqWLIDriNep/TMBKfMttz1o10
+aoZ+PA4qZ1dGFZk4RCyrW5rD7V1bBztreqBsyIu+jIO0jnzdpT1LIe47PZdpW+GJEx3Hdm5AD9+
hZsRv0mZAsMJgfR7I75xTuu9+lAG7xetZoZ3i5lWPcS5MsClNfU563GvUmxVbgApxV8qKp+C0eo5
i9Y8E8bsWahhX4QlIe2FB6v2/Y3FmWGYW2oP3fyDvq094vUnzZ5mM/D7OIgZaaBsNzkOlDAKarK3
ik2MFUS2veAWV+geODYRm5ZYHO3EjrazIWf6WiL5FpZ99Uj4OC1YCnVFtfFS7kxDLov7yBhIuJRN
7AQdzzUIS8V+LuHnCyEwAV9BCFZUhEEC0YoDIZDxUBrPRNyvj+cxWpeOD6wQszWgLYrCsuLOjCrO
kjj3AALTXav7x0Ib3sFvU5gjg3xWk1l9QWE3AA7lRZ9ubXe8FsZkYkQjINA17HnOWhsM/x/IgPci
pmuqU2P32NrFPW4BcFKp8ZDPcX+XTskrrLpm20+csEG+v3qtyi4T2AGU724j+PXWFs1an7m9kuEW
c/h+1eA2ox02BzkZ1kaXQ7xz2BmsPK9itQRXM0ja4c3Hj70pTM84R8MICNdHw8FA7n1nuxGtWQpQ
bxbL7B2Y1/zkUsIB78F7k6mNCdPL3ReXjd8aZcJEMIj1pYjAw06j2e58N4OUIyf62EioEvFfeDLJ
SYKRh27E95qXFzVtvsn116pJv8ymAVnBL4ZX2Q7wC/v4NgOHsp6vGFZXVwJVAa47AN2qUavKbLIj
IC4gKT0a2tIW0VlY2Z5+S9gx0II3BHVREXK2fdxu4/7BqMHeL65TvxqLvy8JI1wGOh+211Yd2nvA
2ZyKrvtap94Hd2dc5b7jr/sm7J/Rso4gaf1d5Tfz2iYvuKEUhgdE4jvrzpLw6mzLLMgLaOu2IPZE
w5ddnxAAlxXUqvnEFszfjwA6125cf2RRLoKegm5xX1WDeOIG2U4bFNTMWzndGGc7hVC9VblKeXi1
4IRqam2PkQMYImMWfDHHRlKO5GUep181y6c8luJLkdnOF5UUWJuWjnI8TIwrQ2QMDD3X3PK5WS74
KRiAhxu3Xwy6KMj9S+sOUKICVj+ykQzBXmfrnMkjiPHpQitGsszH+Ai+2d2SoIqefLiiDc73zA/y
YnhBOD041vi1pKNm14r6i68wRuddRU0PxUmHkJY2lnI2pmBl7njnblCTSJwkA60hJfiOSfWfh46j
srVU1BhVUL/srAxXDb2CVMyV+xgKIFBX9thQOLK97Cy1onR1uCnMcRM28lbHWj4nON13WeV4R9Ba
lGt3aF2p6z/NS7zNhrp5pBdT7UzxhXoAhiYdlhtwLc8C5AVIEAthVMm1Q3konUIwWQeNA9eZi41b
Z3toaijeWLewMFkiKAkzBolCfKTSkVsKoqby4BHRyLDyoFN9Jql4chjyt8AKjVXuV89TWZQb1wSI
bSf5cWRxt4Z4k685rtCg0hnstyO34rmYlYeyVI/+mKsdGa2PrOify2q27yhQfEB8MxmZ7Xk7jYUK
mqpbV4quJ6THBpbFNGybhQhlNuJ861iIP09UAwaWBXRkmg0oZAKdRwId1TFel5Wly/KU5sszYZNp
S+qDSlVK7HDRC5b97kIwkU86u0oktB9kJS98povqVMe9um1A2QR9XXxnAIYPErcboZcyiA1ISJMa
7qa4jbcLZTDPDfL+OqPec1urwseez8Bj1R67CENn5xTHz2oe03zrm6S0AP19Mdsmwhg/OTvk3+mh
ntno+q0jkMRdJh9R+XcYFG5pYehvLeSZvKypbW2hP8bKnG8t7d8YtOFQ5FPKwB2GYYVDdDzRZv21
5MyRCeMNSPJ7VAFVBr9Bjo5HMbUz9O4sB1L88NMNY5fF3w2v7lfCac2TaHW1Z5lzXyfyCAWXW2Rc
UzVBUcmWFVLJzNrInaTCzCoxY2DwOmI34SGqzRsz9Z5tN5YrmSzvk9t/hH30pSxTPj+lfOi7s1uG
xCEXlrsA3j4bhjUQHcwOXbIsQSTdE0CaTx5xt8b32arzgFxZkUcpVIiZ0yhMcVKqetAjE5rRajPo
+gVUN7Yt8zYNoaJHi3HfO1BvVmk+LTwWNLRYi6cBIpdRxdRyeu2h4RP8eW7ibxKFciVDKLuxvGKc
RpVBVY3t/C0rYQhvEqxztzy2MKxNpSTk35YNXb9xUzyM1/bOAQRQYGonxacP3ThAEDdjoChd9WaN
dD5OI0i6xq7q57H3ssOV5Hpgsk4PvhsXO9YdEKFmKJeAFJxtU/SXuYFxXZf+HdtyfV8khvhOyWd/
XOLEuamk1+xZjaU3fYnR2x5Vc1GgUdZeY71zjtfntFAc8iPzDtL/EAxtGZ3k5ErIyJZ9pthAbWpK
AXaynLy1Bs27HVxlbDssxWvaORkCCnp9C6nWEfQFlhDksulajNboG2DXpXkXqd4jE6DlhoVbeOcI
SoVYO33x8p4KUMt9d6OMK8Zge0Z7LPaNng92M0CZHKnZyWkQKtsYTGXqf2Y3mqzpQ5AA21hAGRXa
IrjOhT0a/3zrj0HPdyeil5aPK1HgK7ETdQDmzISmHpdmdmB2PLh5oWkxz7FdoiNtuKOzOoQtuiET
tdNxdceBynvstUFbppuhushJvw00KjNNKzM987jmSUR9dnU7t/6xwL5CBlOrtRUiWfYpZs2BI0iJ
JHt059YkFZsl+zZVVyBlRWq7a80j0ZyOfLD8Xi/9ecZdsrqeL8CQ3wru7hvE6fxeN7yNJNlX2k8t
QIkZxOHRIC9eJt06rT0AWkqzFLyym8v8HDnuS+nRnMmMXQdTxccfm8i2EOYuGtE8so59ZgUAmM0t
AE3D6+kHTrpvS1k9OGV3nuFGE5wJ1wsaLUoDZy1LFgS+WN+O8FKtkIWpI9vAjCfuyrQ17GMWlZsl
hdopp/lm5Jsa9KSJV7gQuEfaolkzBH4ZXE3Kxj54qr6n4p6cJabENcfII7folyociq3qpw3HLT7J
glB9N7TsryjApiijt3bkW5BSIPXmqpOHphJEeYkc6n6zDBAI61oU0PTjpXitFUhC0rwjkfZMXLh3
PlpzBFI5YmmXOiOnL28MImqY153B+muBnIcqsBZhMt7EUFZWtiq+FLSWPegILjET7a4e6xiGnGT9
IdS9u/jdeqqEBZvV3Hat7YLJatgOMiwba6p5wW+Hrr7kmNs9Ud+2i3VMPecdO962yt47QWdD531H
R6846mJQuQLMgjb31zUsP4HmD/95+F5114UPwE9I9/GmVkAQyIAGqUWLdLZANXIXSrHWcMIFCwWW
jdy1PutS30McS4eg7RtnCiogM3d5P1g3BnN9taIfyFqNAwfzgTU4f4gneUUPHK0GVQ0EgTXvOu7c
1Vg7xyoXx8a0EdcneCiQQ/stSk50wyOLvqBFAFvCTVf3J6Ncmp1qrczHAKuaQ5LV4b3HXY1wUisa
mNl2XMcepCOwWxdDOTlpOq8lBdeQWGsCKWLkNqpw+RYSEuvp8VG+qIFBco3skD171BuzeepdT31p
08lNu1MoiF01/er/i2a/+1bevuff2v+4elo/GC64z8Xd//71fwLd+MPyun7v3n/5H5sfOvpD/62Z
H7+1tAf/qUVf/+Q/+n/+EQb5n0yl0rw23Pz3ptLbb+O/7d/zijhXQ4bop4TJ73/zT1epSSsqBtCr
Fn/FkPxhVnGt32yb0BnF8gwHv/eo/qnGk0m5Io58PClkU3Cb/l+zioVF1eaPX22g+EtM+U+ZVX6V
4vGTMttjpVGYV69Upb8kmfi+T2Al3GWfXt0acmGPajnRy08X5R+IgP34IT6ZG5tIKf/BhuNnP0xX
Dkblgyzbkz6GXue2wMvcwaU4SnW/u6r+26gbTqKfVws/fh/FZXFpPnFN+0er0E+rhTJnM6ip49pP
Q9LRspiwzrd4mojrNjaLkm6fM6XuaEtRQNQgbPz93/SvCTRKQ7Bk0FrEsZ43zf5L2A3lxbNHxyKB
W4wXK3dfPWLCf/9HXP+JXxzA1x9hY33yMTl5ROt+vZhNY8y9GYp6b4vxMtnyBWsEkGBsV5hcaj6l
f/s4/xfvHKzY//fHKUJuGKYUdwjfvHqdfrqgMqrJICN670Fd1DdQLkQVgGbIb1Ibh3+GngmKqmbv
EdWdyWaaKY6udH9pgCfRDLsmjsO21YKLDvMWZwsHPZ8OzXKguYNih4j6VLw39HzXorquwP1VQ1Lp
wAAiv1ga3uLQdgTdPQyJVwj0CyNDFcAj6a+IUCLjrI9YksepXPewUV9mbDwn3A9jtEIpbFix1n5+
cUj/vibzlfGaNxAaotK+syEWPzqUva8GxSGtj0hm9kMhwFn54ZqkPqUzHBm2Q78sB8bdMxPNsJV5
/l252WOZqA/0sgeI4Dm+Hy+/qczpcwTdgR+h8cBSPr/KWUytse1Cob1yTpsCq3arx29YQeqDq+O7
ambvlfhYb5SV9xtiPs7thIQBFMAJb6xIvri0Nd7oOKGbvEViTYbhG0tr/zIVLSZeoTVkmjq6dA7L
BGy/gUnn+totMaROYzjsQaGEG21O8RmLUNBjMDVDj/WJDcIm3bCXp4SHvEPkg2nRKNEJyM9L7Q7e
OvboRAWV7p4qOp9Y1VUCd1FBcb3zrMD5vcbp0NwVJbuWjTdN1qUUKTamBq6YKW1iWU3T5byrNgVS
ed2cy4zuQKuo0y0JXj4iOYg/6r3mgDJC2Ihzb22pPTdfcCcDmB6wTxlxYvVvtBCxRwjMWZwMiJSX
BOI+9fSlWIXE5Ndx7VzJMonwD4uBxTgM4+ahWtjE5017CtlyvZEv7y4KkWLPLCDOYpLOPi/4LPBE
TbaAq6ddkcs3iu5sBtmEg6R25bRXbeI/mE6kd4asmjPtoOV9n81rq+3nM1CZqg78KjO3WOrrt9Kx
CS8BMyEyNtnJrvFVfyQLn64od3fuE7fdhqEsyRB1roBCEX3WfRoj+tqv0xDdqDysmYrGh2pOn9F1
2LQP2tgpFJAjQWPYZ/GA16OPxgd6WcXOkom5F2ZFay+ny4NdtfVxxq2crczILu/ymecGn2ickCuD
w8mDDOv5vSXOH2R8aU4DpRFHMPrWTk4+w1lGFoczQZFuARO469qs+WlRKhmWfHgvyE0TW6Iqnm+o
sA7fqPSg3MmLfJiy4Xic8OIEbtnjJACStCOfBfA7pRbTUsCkVdgTN6PjESNeNt4AJxEnLMPeNtSO
/1Ii0XA2SYq148Y0CclXXyzsS7rOfEym2dxbg/zMkvBkeFn0hFmckmmXK81Zl6Y0euQHoPIr9pDd
OhyHlNONQORd9Nloaw6tNWDOol6+JpHHRi0203nlhdFwCA3c+sIwHzjjb7upjPbaAHRS+tW4W1L+
2Sh06ucGfz9FVe1Ix03dlNseQMR7O2TovHHlbNppW1eRvNh25QeFSOEaFe7Q3vdGJd+5b3uHJB8l
mhBw2eka4opjhnsm5Gq5DbO0gzcTVvNzKbzsxA1pISDtkxC37LemHNml+Z6xorO0DLIqZNw34xMO
k13MA4D9HS463NR5SDBBFLdt7h2ywXpOcyg3Vig4xQEEULCY2asZ4TqkCeIchek3GIE6WOp24/aW
eu9NVX0hHjDcVWRA/ZWd8d3jluDcJTPZNZ/SyIOTWw2NRmSuynEZP5XEL3GkNfxkE4jEHGQOXyB0
gulqSTSyVzHWJm6RRT3QeO0Q7ccAK7IcGC21NZJqpbjbOBAX+J4409c8n427tKZ5hxRDkMKDeLFj
aipmH14ICcDs6g2YVKAJfG8yr6YUfXHVKZPJWKNLUZCWt56xR45xOMe4H66QUbcafN532sA1hxzP
vWTtJHYFytimscCjusOc0POlOBI6Plj/pCyP5dTbe7uz7TsnEek+NqLos2dv8iiZdyD+ufxDPD0L
7lxrC/okcc45u0gPpIRtCnrXjS61nlTtbJwxz187iGWfp8GJb53GWV7bQq7JXLDA1lXT3Pai6tA6
NZ88FvB7lXJ4xTtgrHl4fgcMTtkUTqwtLKj2wPNxPAxacs+oIZ44Rw5AeHXXVtb2v88V/0qO/U9D
PpEuZqy/TUXXY8Qfk/z1nPKf/35OPuIkei9+me9//0t/Om6s3zDg+K7PZOa7Domyv834vvmbAhHg
/xwu/3PGB1rI0A8u1Metjh2HV/FnhBxooW+bDMuKnAlZtH+KTir+MsNZFK9Cf5CcH+GiKsbGX2e4
eqJ0u85aqL4VbtkaDmmeTPvGJiYbxmbhsIeL55w0biqM8TmZCnUAjRZXzYphy353k6GwMC6CKxmm
la2dH+4WBbnqGFm1AScwLFKkh6Jt2t1PV/q/mD//MuxinucFe1xa02Potf76yr0WlGjYLM1RRub0
KGIo6Pao/dM8uObtaMzcT//+D8Tl+uvAy49UJrRYxVaCowrX7NeLZSQZflOoakfHgXrVscMNsoEo
3k4rZlzsJ7UBILQxqzd/JLg2Iaai6QG674dwa0exKEGpomyvlsHlqoA+pSvb6sije0Xiyk1Z9NN9
DETyksFhXHaKFcZRtyJkXUV0nNbONGzgADZ1vgSU7vJUjpDjNeysYXrMFqJylljsd/aP+Lw1Mhax
pzgcok2DsSdfs5JDh6EvqEU35B2Bl9S1fb8N0QzOM51RF6JrfAjgS9nvjcyT3awMHxmqqwQUAG5U
gcttL9qMiU8NJ3rjdG/iVWnWdRxZFwrXk2XFQMPv1jaMPoSapvuI+xet1lbisWmyLcRYln1L4JRW
HaPV57wif7YBNoKHmZ4bpkI8DpQQiotFuKc9WqVyrVsIrmjxjjs71SdLEoW66RoqRNyozWipgLsy
PAJoti6GxEPwyrpmMj5jPuXKJe3E65kRx0oELg8g2dBQCI39ikTiKkOliVZVn/LqLD1QkDIt2ExJ
/GvKYENK2hz2LEXOaQG4QBJoDsPveoxAFswMKUPf8Nf9kW3xuk6ch9jp+acxg3GRkhmO2MpRXYfP
eyyGaq8W89rxRMSjp09AclkSeC8jZVxdvbAvwgMeYEGxxDFagPHfMIRaFxpc5cGvk5T3r5Ll0QeO
KdYJqxt6+1gQn+NoXB4MEiHTSk98eclZUClY1wnb2RacfLbiQcurbBx3dNfwvjMkyGsqyq4xyVjj
NF8c9PNbw/Yn1GAdqpZ1XV++RxoPyTxHzosxuOJ2HKrsXso0erfgyO/hJSmPpXXhvhdgdF8raeK5
Fjhq6WQ1p3sYTZ2HKZinXkD2Mp1vrMkBsmdzjngBtNh2D1ZCyefaBluxrAaA6DT+JbnT3Jlk1+WW
CCPbbhpVaymW1ay8mDJIzSfS+hgp6UJhlZUav896BrPGf83192oap8ckN8VFO1nGMjTiM9JaBRpf
DDbxgj+bt4dBF4sw0zLvbTouVI8sLl21XBm+XK4u+FKmVTmG25YtRfsJQs/0yLmeLwLHDC5wYlWW
s0uBBx5tayHbFk5ts48GXZIQDSGi4qWs95SPE0qRrN+jFSPwteBkSvUC0p111wbZnOuCAMO0hFhY
Hgu4ms0lZSYzXozeXepTZzVGcz8z+YXbbCZ7+bzAdfDZN5p5+ojDvdlPuQEfORykPCyD4gaxzDnX
sukI1QWTOSZgyXwkcvRKzG8hnvlpS9yRb09Vu5bkgMUHOWW9wBLO+D/snddy3Eq2bb8ICnjzeMux
WFX0RiRfEJSDdwmTmfj6O0D17iNRfaSr+9zREbu3EYkyQObKteYck075xp+WhwKbC7+Fco41tHah
gmWjgac1tMLUf1Il3W2M+hELBVVO0XwOHGldplgfEqKSoEKSgIyjdE8au8hfhCWI04ImlAxfnDgc
io+CFYJSXMWzJ66aqiYVnP4pCp9tUCYG9qHC4jeZ3E6Hvgv4zodSWJf5MDvqY0iyW/EVgzNW2pWr
8YVuKxMN41XF/jN3K+R3b5Nfm+n7qml80zxPbYeOA5aneYnBS8wXUO6cQan7GZib0ZM3jSRYznhk
yEGUa+Yi44NutLFlmJByXoax75Agek65StwAUU5gnrNJrizH0rikg8rbG7308Vi4JKxnH5PUHRmh
t55fc2xoNeHyJWy+loSkxx5Nw9qpzBejnsiSB0KFZBH9XJZKFe6twk4+lX0cfF0IJ6vaEnDGSv80
SkGSFrWgYpgQJC8e8T3bik1q0+CuuA27uH6x3LTa2TVw6jV8a29lDoG4jhIgggHpCM6SmVNeZG1S
Pth5H9CW7ofdbAyU55NS61ok83aqZHs1lWQ8eu40bunGlDcs6+1LjiDibnLBowWmys9E17u7TiNh
N/OGEVXWEOLc++UDk+M+2aF+qU8RGxggvG4+lEZU7ELHJUiqk+Q5lEHAsjc5zT2bTvtUeyS6bfBd
LRxFs/kIZnX5aCt8FqHvIR5HAKgukTw4qySbqk1CvO43os6ICRkhdNgzmG5Z2jZCrj7gzG96tV4p
TTmw6YU9HbueaJaw7DSj59JpzoMUmkPiWTeM4dszuh+423mPT3kh6DEpG+1srWFzbnUVjJfd4MZ3
UYsuzuhnZDRG5MORM2bgXdr3L4106I4s2BrvUq3PGSDRahgKudW9EGvUApCNwRDv07r37yfknV9M
xJRE/UXYcjB+lX/o//1SzOEfdvifxWIUOUAKfq5PuqZywpwj4QHFIlpXUC1rUzpsQgtuB+vw1Byx
gov97+uiper5oetIVRQgOqZtgDnSDtz3LVyXNkaQSpzMSAja58zNWBjawabG+P116Ib/ch0/4CoR
1Z5tmu+qrylt/LGPkvhAgNqyppqCNbtW7bOnYhaMv7/Y4iDl47SQxbvvPkry8XojoQg8hNjvtk2T
uud96pdrgjSjPzSGfy1koVLTP6UWN5cggvcleBIFraFM/+D42rp8I9R4ZPGssco3xz5A0Pf7t/Yf
rrdg0Ek9QO3veuG7LrGFsrWpS/zSs0rjx+9bUE0DJCN1qqcaQRfLx/v7ay4f18/3CG+OYQabCsai
X4p1XSXuEBHhg7IFlx9YSELPKUtidmCSrtgDmX6yHxmkStI9MHK2j9+/gF9v0tDDZ0r6A+h12zPf
vemmdjsT5IF/wDwu9lJCCFcWyQr/H1dh9BL5DGhwIL+7a8rYljW2Ov+Ae0bsdVZnIAQRfvz9VThQ
YlWG8MSD9+4q/uDQOzV4LxFApY2fBeXaVhCnf3+V/3CbeJHrmLD58Izgyvh5MSkWlE2bNd7BjkV2
lomUm2LSMlDAlQbrEpkVnNvfX/LX9Ys1ndWEtwXlncv+fMkabpmWpe8eDDRdTxYJv4fZnChF0JNH
2zrUJuliQE7iP3ygv64syBHwm1i8W3QJ799qZEsyD1vPPhAeCUq4YZ0cfBrddKnC01+/RW6OgCwQ
HnX3l3lXgEKKS1X2QQlkYrqymuPco1AhhpIVeznBqeWu+f1F/9P7W+Z4Fq0w0tfeT74mM6udlJbd
AZK72NcVqSOlGRLBYS6Hn99fa2lNvHvUmT4xY3NdtE3hr09aGorQZD05zKKPQJhZlSdXHgz2W2Bx
4rJBqw6xX1MmK0ldJ6m1+supm+gj4xlxOVw03muZ2CShpL1D1TkTMnWN2xZA+e9f6n96pbQ+YKZA
a6BB825DgW0qM23ANbErhwtl5Ik858pgv5xoKhJ1GVHW//6S1q/rUAR7gLrSYarJSG15TT/MzBJs
nXbMHncwQoNaVyGhb1cEpw5fwMawZaZtvNzveWZddmPZPU+TN1vQqyJ1Cy2YJmeXjHO3o0rKziC9
lulfP/WER3p0g3gY+O7sd0+92YFLm0Ke+moOKbpNL39B4escegIEsR50qGt//4n8cm/6sI94Gmjl
cIsyT/z5A+myfin69Xwg2cF97c0cmdNb8A07O6fxv78YfSPm51jl2Q7eXSyc7cjEWcqwIlEE6tTA
OM0eXgrjvJZT0u8v9stXzTsjjsi1TGfZ8Tz753cG5MZqMSXpA+gcDpYMmLmzeBA5Jf7+QvY7qATI
SpbLpXjweHMoCd7dyKWTZgo2rKSCEGl/bXKGGxHY9EPxECMi6Y8tWZsMEhM3PBHZXClOJDARGMYu
2yA8gts0K+gTGIAonHVvzUR5BELsTcOnlUXXyyHTYul+yK7gcCztRF8PdRMxtPr9O/n1ZvAsyjsa
ppFHbvT7UiirddgGVd8f7FmHG1mPzREJcHaWmPqvqy4fZBcfHCAQWnrO+zWf2Et7mBQp4ILgpvPQ
ZkCB1q+LtoB+m6Nbqz/2D5fd64caiIgB1kN7UX9A5jF/+ZZw/DhWJzz34HfK/er79nQgwS56fGuI
+EFPVwdAvfeApM7+w0Nmv79FGNDbMLF8dAfgUaiEFt/lD+uOW8YDsJ0sP1gWnaSZfARY5f2Z9ucR
gKVUcfjJt4rC3UxIi/rLKGnYKByRMA4ZdI3yw871rTlWdBHnYunXdGJhSbikDc6rOeA+EhXp2mcj
v/86IO665jcRBbmPjKSAu0V0SnPjATR4FMvtBWuU6kEj524Pk9CgJzDwqWtPKlpjBLbT9ytoHMWr
rJuSYEPatl1ceKZRiA0ei+pG0m24FP6AXMPN/OtGk05PNkINfXAa6nllBriWTrSl0cb38BhRGLii
PQ0F6LR1ULaz3DSg3zlAz9lBhpm1dqfSw9s8opmC8jh2mceMmuQU2bwyraobnhkASPN6bK3S+kJM
ZkFT3EDGR9ZUuzRDYZum15NW/H0A9bw5R/hH0zsSUZzu/angVMS8kf86d8G/is+piOm8IJJks+la
nrUUJb3+RrccEWGBQJyDuxYgPBfoh7pt1Vyl107VlIink24abnqn5wuxIXqIbWNVbXHbzCb7BTZB
8P9oTNVtYdrhKfH9prgNWqv/onqTdyGd3JuRC9SjeyE6a2lFyZKvWZkZP8hb9149QmTmu4X5Em0L
O3dPE5/mREcDOPyOKINC7XxkjUsAuKZzNWCK8c9C8iacLRpNfuPoA3/7NEunPu9UPhp3qsm4dFfM
7FqRiW0Sx37p9PZVjTJ3uIVjn/abgtslvea8SrwQgkWJosPIXNS6mE0BZwwTjtO2bpf0dZZwb064
g2qGhqQPBBJJgjvFljxPlYFWclALogozIT0tkAX9fKZKzrArG/eEuEpGU4l7q/aI1QgzjxusTkPf
vjQywd7wVgfQs+fumxOfVkPqN/TNLD9w9BHErQo7um2N+hYNM6q8eSKm6K0F55UjL8ZJlXXv5rb3
msVpGm/7sZe4e94eKx+5J3coz4wMnDx8Zf5I60162rq3lJVme7q99ObtYdEmCtJ0+7Mu9DmZpaXH
52r3S8/cyfvxk84aOe1URh/++2gGqt5r7DlLIUFUDP04KOivlZUvnVhm1tmqzTn+KPK05wUxG50C
f6TJmNK7Ck4eGa3zqjAzJL1NWJj9sSIHcwYQZzBpKLXLB+vGk+vskOEk2U1fd7wQiwwOfHyEqt7W
YGLVy4jI2cDLF3hFcRs2kRovPIVk1M9zrAPYWjL9NTSYZGzzsMOMqK2WLnCqqY0dnj/CdNmPGQOQ
6prSruBecZnmLBL7wQk+UpgXUNo8MTQtkZCYOZDpxDEEtjVLOBEi8H3o1uuSpuSODtoc0pLISY0C
y6FotdEhH0IaZPMIfPP7jv/fOekf5qRoFClJ/vcx6eZr+Spff5ZBfv+Zf1SQ3oLmoiyml8QTxNjz
31PSwPsADcDHVhhxfHnTSP5rSOpEH0KHf0GHAlee+Ubd/AetGX5wXWR21HkebZW/FELC6Xy3dWMA
WVSaTP9CmnNkSf68exb5lOZA4rq9JqXracgZsG18WDUgrCHRrlUgqmHXdvq6bOxZrmFor02TbPk6
NttdPgGAXs3ObD3F2UhGdI0ndJ1FpvyqBkReIb98HcZOgQhxuK45F2DzLl/eenbOmGERTFCeQ2Vk
jKciH52KixM9pgF8lw+yPnF4mC/L3MM9F5KXug86TLJr5n3i4POgA8GKafOirlgNqUAawdp3VJ0g
CrJyFuK/l59JXhxLivDbczx18Tl4vuG2jhL6NX32kged8ZSVlXGfdLW/cmE5n42sAFsCtMlICvv2
alZ0IkghuplCopWNgjcZ806t1L5xbV3soqjgmfQcY5UnNf7bpPjWEv8EwzMamk1tzsPWA1a0szuy
cLqZq6eTfeM7ymSeOFwMDTvhaNs3mRXex9N4AbmxXqWqvpPdjGhIov0vixpyOURt/lKdGl2d3LB9
iiuCcWdrUIdCJy8RCGS/a1icHOem0MUL4OGc6Uxzp+jqPhdlbW7ImUvJmMFljmpwWmdZveYWJBgl
3qI+Z2IU+8tL6Fa+x69myotyZQ7MK6cwcG9gwKUZHpWPjR5hTihi14FUt2smFc4OLzNowQHGS2pW
3/q5vaaan/exa6BY0t1r41riHhskrpcsprJw2nIrQ7u9LqW3h/4GhohJ4RW4AvHkFuG932fNWaNo
z1g9rnY/Jk1+pnPEBuJDaC7DhxJUEoMSRz4kbryIyYDFMcPtqxs7ikk7N7vFA96Zzs1gl85llXUp
7DQ7hWUBfWPecla/cwwAhyRmoJhE5XTbl0O049BUbxwHS2vMkwOge8qWIF1sLpXqIkYETkvR0lpI
JjPd0ATwoJKD+WmwL6vxCOxxGHdoDL2HgKr06Fa+iRV5mDa9HrI1CC+CzD0+S3hE4EvF4oEwj1J3
3nDecChdeV4+6G9G7c0GfNOmib9pjFYXJV6oJWDcLbZlkDliBc2IcJDcuntbvv670P9hobegJ/5u
of8/5eun1+r1RznM9x/5Rw3jfmAB5bD/b837v9f5kCU7gAcTWJxU6E0vXc1/Fnp2Bw6DUJeJ0aV5
tgjv/1nozQ+27dJLoa/Fed6J/g7P+H6Z9whzWF4FZyT2jPeN1ZxsELd3XINDi0HgeZZrdOmR29//
8Jlcfz/y/Zi58u6UywF3QUg7i3qHHQ+R/8+7yWwxlZ/mydiTAWTdFw0R385ohleVnIw/najf9biW
awGmRuJjExpBt3/Z2X449/Fd5KSAOfFeWxjZTF9MFxyMnQNSBHXd+lWW/uEIz4nyl08xYA9h86Wn
w/zkvSycwHiEBQgz90C6yFsgmW04kX6HnLsxqsZbh+RpPpohDf+dOSbTYrotc33mN9KuzzovQRsx
TYil8SQS4L3Uq1GjKF11JMxPtcrEqcOjctbFqEzlzOJX+dpmq4UKo4VV3ZRFGZ2V7GAPCFTqQzSJ
dmfEFbHDrC2XBIyjaHWSOj3TnUlWRkLCU4db9cY23PkroMD5MS1c8Ri0yYUJc2LLHLTm2Fea+9l2
ChKUaGSha3DGG/S+1Tc29uaKXKj8wTYh6tRIbXfER+A4yirslIBm92YTN5ztO/xWk9msRKflFrEL
UNzB6Y+BNTSXKFMkztnCeSUoytgj+us20CiAjGA9RSqrothfh4bdfCZDoTrBi1Y3xK+n0Dw7Sca9
CN2d2dvEvBdGJIl9SkXQd7DMZCL7ZyZqnu5Pad0SIFEHUb2WMfc5drPGxCzlVPWnUQR0P8ck/LhY
4m6jxIxScsf66EvOBs8JPhJkPFW2JhTeAGO5E1OIhtekgfmpwLXnrbPaLa9M0ivate8mzSkYJZF2
pCc+hnqGZxNnYmOzyyyYzYTWQZZ7V5lj3aYKT36s6C9w9EY7a5niuSKXftcoc9ixaYAkVI1ffRFL
bHRap5+1IK0jYXBxTLBmEkM2e2m17flwUmaeF11ZzR9dxzZu6FnOJ3OOwx6/HklfqEtNY1NkOawg
ozHuXD/zznEeuvuJ2fTWIaLvRAdy/MI8e/hUWDovtzOgETIohyw68BH0GwA9n7uhXEtgCpd1yZFY
BeUX0yEpiugyqHkM1YsiecA+n3GT0rU22hAXmVGB/cQ9jWTaNddRnKE1aYdjbgjXAR6Z6DW64PyV
6UTMHw5enJgkKmaeeqsgB9zGTLlP0COvPSWJrw2ZLnBr8/Qoz54unEWzmlvTV1Uhk/IQ718U0P0+
IWDWa75Z7xMxj8UV4ar2ppiH4Zad1FiD4rntuijbjt78ZIwY2pGz2Ftbz/2lEczzVka+vKvrCNUz
JNKdrtybWlYfAydu7H1WUGwtYKQp1Z9reHCoU6dxbDY+lNmcKMFw8UnOfQ4lJ6kKb+vbS6ghoD5/
PoWy1Oq8pB2rwc8knWmuYoPsi8eil0viCtGmPUaN2Wi6zajhh9+D5QkTAhStXIWTRBY1pNvIWtJy
vbfkXJCu2OG9jkBdUmrwzspp9oMnZbhJuAt0YYMVDSUIzaw0dLjrc/AyLo6Owd/BRpyT26nw+JNO
C3zgkjkJ+b5NJWqJgI1JMHUukqX0GMXGRCRwH0vv2W7TkTLarGOMhJLa3H7MR2l4u07h0voSYNbG
QjhAOaL4fAsgLqq4rrozPHbFs+G1xV00IbITZs0y3FSBt5/MoXwMYrBD69ixcUvL0XcOnpqw38t5
4sDhAec58wbHOUg77k6WUt7eBskUrFShMfdXMzonO21oo/fd8q+D2Aeerkf52bfrOERWUrc7t0Ay
tETHp6sR1zKg0tI9b3uzPmSKefdQjTP21C7m2G2EjEk716UjgTGLM7XfE9EOopeKHSN+3ZsLC0Iz
zTLiOHp5m2t1g1Hfzb0Jcd+rjbHdoFOrIE257VfMROGJF0KIe2G7zbHVEe3IESMv+H8tCbE0y+gK
bpb/WjKBBDGAxBKFYlDdGLIIinURVrw2OtP8N88Yqm82pKJHB83YNZk6ZB6HHMnukgo2KsrxZrRY
PAoQ6CnC7/9Wgf8vJEKC1Bfp6/9+3geAhh715zCNf/3Q/xz4bRh0y/HdfcvSYDjyL+tj6Hzwg4C+
fISqZGEK/lAIgi9E1kRJiVAZBYP5Q5iG/4HfRhs/8Gl127bv/431Ee3/uyIGPQZCmoBfyavA//hu
pLIcVXAgJdY+DEnDkaupCdfCjDxwd7o7ZZKo3Tp+0XXo0TOGZ/pgjiRAM3pqoIAk46XTgLuJxOTA
3omtGAGuF16nOmmBI9XlfVMvTXUKqPMuHjhOxipc67F7JUmqEBn+f5E89MKoH9/UwW0l6RhOtiG+
eIskuEmT6ORCi32tzY6WqrKROTqtzx9a5DOPg98YX/HzksmNsUh9XeRCQX7Ieldepk2wFTC+wkTl
R1p3bXjmT3F9Lx0XnjJZ5BA2xoGZCWSFxsBV7IE/mVMwsu0i8AvwH6x6zonuBq2HurSEKjeyG41P
PnDu6dgPU8jH0tj23qIVfgKeM65JEoSgRdHdbONQgt6yOtw6cV98cnmWj8miU/TC2d14wi2eRN6z
tlixuzHoC63L2JGPb+MHikcrOXf7MTvDstlex9FsBmcqRptjqsl4HnqSFkeM+Q+piXSPbR5uXzdP
XfDY9hks6MBXSC9nojpxbFMDdLv4TR2JJWWwrwBsMFk1OM/ei44+6ti6REfhTGqf3yZnS6F9/10U
+V2i+CYpjQomLkDSJZ74twlfCQeAka6zVAYCkvQlQ2z6uMHQM+VwiEFCAexNtFvCNGLAiYCT5urb
qMsSJYf+t7/9PmsA9cPgsCOMG6nAm1Lac3SB7W5RPdnRTDOYVn38mLvhot4ZUSsMk7soa9KEKUAC
++bxu9q4Hhg0WaNB51SEOCy5NTl62MTQJits7NkZgAEme2qInHMnHbzXVpVdf+YOIfm64GfmY1Rr
XvObYAHH5tI+BsIHSHn5UOwO0grcBRr7zLU1L0DSCGYOkuRMVaspZuDzNs1JYjzx7NcgsTchZROo
2KCh5R5PxHzu+iE2k/OhXRQfSZMPX/K8MdZZMfPPLhiZbJU2+H7OyjxnmAILZwIZ579JidywZlik
/OXNh/OAzHZ+k/oKuZwc3iYu2OPxLqiUr+VNcUEqC/RBo+VNxKNtXgMd8k9vV0RyyHBjMpgLyhKC
+aojwYn28iKWlaKgl05DkrmAK22640JY7qupNT13F+/f0V90aR06fEiVnkIXTJ3r3iQ5ypLC6dLm
PIOw329jf0Rz0NkZvz9xSt6WrkLGs3Hpf4SJqI3Ht1dJXvuY7Om904biKMaL9VqfwZtB3NBlJMDL
0fjqHWiGvmR0BieJoc0gQZntGBMt9gJzkVqFC5XyctAR+nH276MWDf8c6YwyIYyodimH5wxkOykx
uFQ7dEtv8yBgdmLvIqjWu6xry28zml2gGb7BtWqgV80q8YywOmtGBmWcZKCqImEoFC3RYpCbIbJn
Trm+vDVliCQ81yi1udMc8ltGC5BlWlf4l1wQdUM4rpvWC/XKs40OpJFNgNdY1Ymz1ox+Ln0ziI95
pKNHxmd+SvMpsG7zVA+ArkTfPg8o9mLS8Wx1B9bMOYNKU+1mmsZrc0q8mzEb+s+5gdhvxVkleizJ
K78LfYPBlw0deWULKXgzfAAn33QN3l1VkPk8N2ji1oMUJcfUCHncmo9swkJOgQfrLAo+dy2WUDDn
TbiQPSRTZBseyXkCYv6c48eiZlhkdiIIwpMPFHnigpW8kpbnbil06aIagwOOtIO8sKqE28JMy5wz
EoxTkojZMW5qq61vyUnwidgtypwIiCIFpdnMwc6QQn91g8o5xGLI9vkUWl9KL5gfw4QpzA5NH7xO
4WdfnU7J+9Hz9Hlb1dWWcw2a58x4EBw/HlO6HnghC7i6ZRRi+rAYqcA0Lakua6hFkap3JpO9bQ3b
H/R2AkvTkWV/xNAe4JGGRO+C3o1JyS3y/jjAb8EAay/A11kUFwBJPdBlEpApKE1yU7J4ZtiUdAxw
RfUVQ3vqbudQTCXC3U4f6kGFl6U0bq2KWTxpNJYjqPqm3jqVBav5zew66flkRmfD5KvdPDm0Dbui
vZBj3awKY4yv6wn2NBa6FdCedry16vrJSSRe4SHqZxL0xsw5tUVt2g8xlopHwGfirpTudepN3S0m
AQj2SW/dxigH7kCTpmTDMDW66jBRkTNVtlszSc2nBO/E0Y3D+xk77ccR8grNWK8RZ4xOm8X3CS90
P3Eu4MGXe0CXzERb+7rvaYX4yJ6xLULuPsmG07GO8cjf9GnTbBXCQqKQSZfocyIRV+k0pO22lOQj
UMSm8iVuVVVifhy9fGdW41jtdVdihzQsF5Sh0zUkG5vDvU2E5HOG4oWhagYuaMzdkUxEoz2ffIe7
mhnwi2J7PxIFMV4OtvnCVLu7aPuZ9GNLqtZfB3U8nHpMs5sJ/eqdjgi/0Cq3bgrLH75NrhIvmplm
96oGDv43GRGCyZHsHnq/tOPXbSeeOEzGN2lqxZvCL9AR4Mw5TQNugpIIrinwxWHsHeMKSzhHf9tJ
9EoH1ddyACHekby8jT1t3+TZMD2HmR9vqOv966iNvCs1ShiyRZ2SLU5Qa3tJSEFxYcadXW+IfTJu
3KLxNoE7gtitymA1uQSmt31Vv2TjQPZ20z7EY2seClM8DmyJ25Rp7QaM1bNlJ+e5zPuToT33ScrE
qXjmwLpg3bC2HPbSI/S+5MoJm/FiDMQ+HCUM3IAAdoDxI6nnTavck0wHl3cY4pVPXaeE12OPA5uf
cQmSxT4zs/RUgZkFImV9jHM3WCUldjuB32lNOFGxIaup3Fhg+lgLW3ebKjiQiRPF8ybBTop7jC18
twzVFOqM1rkhTd2/DlHZ3jUC5tlK1FPD+0nJyZrVzgiG6aIRhYfZKXnwzQ7LH3EGG8tR7ZpwbI9s
16q6I/+A4IEcqQNuAivbKBv677Y1lbEaB9/rVrpP02vQsc6OrCZ9bwoxHXXvmB/hTbJA+UlzwQo0
7TPVw7cYKgLjB5Nki3pkuI8kvj2SXdvdgvUqp7Wue7mlRcZRLgVSeBjdfCSDwTc3IvbPwyEPT02R
6AezL2N/5VXjYzqmT5Cp47XnWWG8SrDIP0wt3L+gV8xNut45+G2l9spM7JUbpeHOH32+h0Hk0l9V
lUnaShiMvtjpIvV4EqqBOC0FzIFIO3bHMo2wKzKCPmtBN8Ck5I1PrRJ3cd4EOyIi4hzHiSX3EG0h
Zi15l+CMyDCvq1s6QxgcRJ6ShKeT/ti4mtaOmerxqIQLEdm2lbPjZ9RFUKk0XAesN1/ybvS/hWUq
txD1vXkPWrf83BICsV+kI9tyKa3aqscIPAH5pmPMwBHTtE8sZ9duc4wk63AMxwu5kJNiXZLGgJoS
MHEAHimvpsu5D1vngf2tuMBx4jCbJK8OBNaQofUqvOZ2rFTi35bgFXEV4vdbTUNOWVBLlxaYbSa7
yK/JFZ1MasECldBVwiabTKU6YUnut3osYH/njIRuesqAJX2iZeUl7+cpqKa62cxoFeB7Rc8JmYS3
cyyJ+KmSdIeYTJ+83vMuuzqF2hp1ncG00hsPkAKHo7I6fYYxUl1b3tDfp7I6AIw6tuGsNvDGSR/t
m56mRmCe4VwVB2vy4jORhI8UanIX9GIzBcK9yScC64k7KArcWaoiIgaJI9qALJpn+ivIgvJ1U9bw
ICvbn29HB3aqKqqSpmtkg3xFhUgMaD3ygTjxfCpGYVSf9aR6UmX0fAUcS2Rbkla88VM4tPftqOsi
IMJodGP7jGxExziPlX/WpU5w21glPrlSpUeAqUGMO8x8HWTUXigST0lo5V44L2QW8z3nGngGUpjg
lnBmz/yYVfydkGT91fE1piRUOsSTCqNce638OKdus3YdESbBNXaW7prd73yo2EHl/oeT/H8YXvwy
UDBJrmLOssQHWK77ngqURHLUdkJdGwiizaXDSdTLUvt+1kH/JRLWH7XLv4wTTJfkdo8pT2C6lArv
ZJTM0jWTn75BtyyiE9209hnnkPda0PtZJpLjZ1IrXfcymcIRFZrwnVijYTTS6iL3cgxvb5YNv6td
cVWJybqsAFq2B2Fb2DfTIdoyZqQAdOc6pmxDxPbFTEwn4kDvDvOd7RsIVTpViH02jpSZ0IZfG2+S
w12PtbvfzYNlgVCu0d65L9AmANzGoeLAlqDDodZPOIsUiyOxCpz2ma5n/2XhqX1DMcRoNUqo6IeO
1WPt22b7bMJPV8AciBJc1k6TA5ZlxDczcYr9jtkEUqBw0RBp/qC4cpsWzZVAeKVom4fN89tZuPI7
6/L3X/rS7fhRuohmGU0wnRq8ABgo3gvzwXLasd+bzd7Ti5vQy3K6F6NVclz7/YWW0dcvFyILlTIA
04H9/u4KBSe4DmPlvkTr9EpzAr/s8CYz4tlDHpyFnK0TRt4+okPcRn97dSaMYcRczl0E2u/lpy3G
2gBSUAMpsbXvfSnDTdZlmvoR0xQzKK7qD4xVYAUuNsffX9x6p+IFoIQF3zYXkCsDtF/eO4kPRtzE
otn3VstvB/2MOC8oOvu+znuOza4FJJYyRuNOSAjdWplAKjn41UlQ7hMXvdnbC/rvkPtPQ+6lI/nD
d/cL9eG8/pK9SyHkbl1+5n/G3EHEKhngEljgCixp/zQ3ww98wdxhHE8XIZHNf/qH+WB9CEBEMOkO
EEHTBech/GfKHXwgScJcfgz5EYqn8G+am67LvPynp4yxLEImVFZYQeCEvR9Aj3afZjMSyfPYYS91
ODy8ennMrBaikt2u0pmsdAo9PQMyNCakqIltMXsS1QUQOKCmxIwX29jMpi/BaJEgxej1JTJzhB5J
VIAk56eqjWriYVfVc/1SebFzDtLOvhKZ9IdVPgnnYrbKcF5ToCRM7qLSP8v88C7AmX8r1DhdmdNr
1QixSvu0oDxnJAh9YNF+TmWNPdts1StCFJTsGZvBTOZwQhSnIrJOrZwhSMhF8bviE0xgByKQqJZj
uC3ibWPr7LwgfomCpIzGi0QTZ4DQh8WF5qMdutsS2rizFk6UI2sJc+esi1IgkJzh05OTB1PIlDDI
ArA2BMatCzDRn9u+xYk4mPMlZ0DSXhyOxki25OeQ8ufZHTKvJBol0cdMFt2NbnMc9KmNfz23G8CM
IxyxipkpTai1ykJJLIhqrun0EVdF14TCSFcygJ+fFZehw9zXLUmgaPWw0T2G1kBS61NKrad6FCuO
Fujzs+Da6voIC4tTfVY9FHNHVeE1k//2PEa+dudo2W+ynurNldrZxzOqZhJElsDhgc4WwofxCBsU
KdjcW91horNXLAApiuPM64JTaFZ2vYY3x+Slase70YW1lCPexLtSTNZTFhTx02C06ryVxPYyQjRO
cmYcONTMPZtZA/3GAH5Cvjt+LJmOdWsP/tpJxqI7pmE4faP4nWlH68EoNj3uqKvJrcttizg739Qy
AqHK4Xy6KA3FQRnCRvHaLdPahBLdO0uyCm8CjLj+Jc/LkmFt3HUtfA4nQWAX1daeTSm7pVPlfLQh
ntxEs8fVsCSIO0Qg+W7sUvdoAYQwV+nYpHvI44ysddNucA10e6mt6TZJOYX7Va6ejToRB8esoq9S
yEDsfBO/Iy5mhOVbyYD1NmIuJdfAexvjCQShf01YBAXfFMZGvaIlUXx228aJVmNqF1uaLNUm8gZr
3QFwuud7LB6k1afXgcr7i97S6SHA2hxtrUZ2NAxrGuW+TqoNt2tzT1AdZGDUsf3GoFw+WU3iEmzm
js2Sq91e5uDNsn4lK57yJ1VbOUKXMsGQx8ej4FG2TJUzk/9raisZ0MtGk8792x4dr1meavNNRGv3
xkAEkhwlI9/ZjG8JYnD0IfVS4oOkf20RBblp3WBeg6QHvuESLahKnh7IWGP5zJxQI82i67sJRjfq
CZ+wGzpuvXc3jh4DfQ27Yr1I4tZpDaqWCBN1Gjw/PXO73FtR9i/xOCA2IvrJ2xAcyFrwvNzGvWLg
mU1T+aBi6fxf9s5rOW4s3dKvMi8AxYYHTkxMxCSQlmTSSSSlGwRlCO/2hn/6+UCpqmWmS13n3FZf
VHe1RCINzG/W+hYyib4T2Y2bKqKcQ+Bavbi3FjWWsoCoWtmI0UgzHHv5YNF/3Wq5R6A4re14NOVw
GuLKuaqbRu7pEY2wmIpl3/TlfNvWnnHsMwLnas+Oj96sittRmvKuGAnStvIs3UWmX2zdhi/SpGsv
I7DYOqHnJcVgXzJPEl1KTtSpGVN+k6m1+96N2q2fGu+dKGGLnWmnjExJ5oVio3tgdCH7jcHUKuuB
WYJ1jJSsA52PZYdqSl2nwnrvs4AKx8XErYyO6IoMhuhAZszEXkk8VnoHpiKG+ZrPn6UCHbfwGUad
uMhSDB6B7ucC/UjybjJx5zFkfPDc2WVh3nyCM1Nsp9S4E7P0w4j9dGzKa2fMspuurZ4s6BgbY75w
01nsSlGT6sy4pJzcDvUIEUpiBDdOPsSQI+hpvIOb6GgA2IGRbaVaIlUS5wpUiTpJpDDA8QnV8D1g
5uZghbqac9SLdHihi4D0JGPXSnl7zfI+mZS68qfR2jks2Q1OowuHb/tSxNLAQNxXd2Jq6z30Olh5
88LZNNfLGUESMSqq1sHlp3Zz286zfwceAnEqy5viNtem8drx5We3xsCYp7F+sZR+S2w502QAzxPL
rKFqUWl5nH5vXQEu3tZtxD2oMLZLqgAUOPF8LqYl2syDLt8tOXomzbbU2fDTW4QZLZdEzmR3GNS5
lBCtZVmU90MRRbe2EZHeu0oK7JrwULIokBsI0q0NM3kupug5IbTr1sDodWNM/nRBN2DeOWg67vsR
1GRnOifW5FUw9Zw6mSYebQVp3db4R5KRW+47vFIjdz+N06DuPM0HINNP886cF3+34h5eCNGqzsuI
W2HpL8eOqRVSZGWducdolwwMXHwqzNtIL0+gqGG3uWCaT/5NZDR7f1LJJ6tgk7Hxa6UCN+/vOAmL
sw8d/CazI4JFK8fdkiUDFVoXN66lLCZCmTyWi2neFHSdoUao8LU96h/sQTrbVtfy+xI50sbuXOOx
q612p3ACAcCmLCg21AUOc1C32s0psJQNG+K93khipwac+7Ya50PlpdPR6XhETvniHLVCd/Twnzr5
P5EBsGFancT/XgawIpCvvkzpp/p7Qei3H/tWKmOORNxpIQXwV1cmCv8/a2XW+2/A9LJu+YOd9met
bLr8ECW079ErsaW3vquV9Tem4etIK9m+CIPC/O/Uyja/6PtSmZqbwyNDQHcA8o/ulz//Tj/ZkuaM
Z6vKLiX87PnZqi0AppXldtZWJGSfwa7kmZ/NhxTORqkd16x7Wwash6oD/jexB7bFHdeMe1a9orED
dG7DcjFxJXxhl+mGKWZxubSHCugmAcebvBhn615jRuVx0g6I3gnoLdyKy0rMMfiILYygLEHLmWqd
ezuweSMDsXE6AtLuzYocvcAZh068xwBTpPMKwFxdRAj9qvKUeutTxHMBcA7k9ULEiRc7n5JLh7ta
490nhrusqXOo+gQMRKDwoHOyivHjW4UXQ996GfcEhlGt2y39vmoGzygDJUoCG1OMhWDjRfsp0ZTc
uW0z39hGUXGTmceMH3VmbfnQVMJNr/65AP+TCxDrHe3jv7/+/i/ey7r6UY39+iN/XntcYCABzFXr
wixvFQd/61N1HaU2XSiLE914bVR/vPb4KQw8f7awf/Sp67UHKpxf5wHB0P/WpWcYqHl+vPY8m9eF
h9oQvB7rZ8JfSWwg7DbISuzgybshN3jsyqLCBOHU4qL+evJlX0/F3OAxKh6717M0fz1jja+nr/56
LhcyA/ADjPbriZ46VYPEM+gzMP990IyTRVKCSbReQK8yw3wdRy0JKtswyuGIHadUcEmXrq+65qoq
ZtIvhiFFVup7TXVpY+M8IW4exJGk9vlqtqLobWa2OBM150lT9bAf68EFVTz5VPZZc5mVCt1yNqFO
s+3ceJs4KaK2NEE+yPp9XJ17kgofrja2v4IcEjaGBW7OJR/sZ9EY6PKqTg1XqUgYTxpJhzJQstYk
6hAcYrGvpqHYTwMWENbWdQqqNW7ds+93A4kIs0CYqmkgfDFwdnvyEIZ+oxWMkolXyw9NJMddtkiX
KASt4hdDGIwA9Q7RcE0+YvW+o/25Gx00QfuaZjJMlEKxGTezgcI1phtnWiXDzG6HJ0hi80O0gCcN
ZNzSDk61N0E+ljZv1IpEbzxFRdZejrZe7JXhYFKHFb114qZl7aXTENa13rDFc8ctPm3mX2k+2kcH
PeADjNnp0mB8rkjas9pulygp2ClyqofoE2Zx2wKgNpAiluTjsPB2ansCNJd19Agqy+BFDuXgwpmy
ZB0y7mU15gzloa0JlJ7ioSfpgryL7dhlJP3ExkBpanSCDzpuuJHrqhhf3CgVzwuypF1uczUCSU7l
FmvrjOnS942dL0t739dTc6/jn7kglbB4qsmo2URi0Meg0eLuUAxJLEJDEihRzjLsDeyi3K/ZoTdJ
sfKtMYUO2zgu2t0MomybuNK/ZmNFeGUkEVe1Vkx2VjS5m9os83unMG3kVEmPKDnT6uMaTs8qwC1D
BynaB64GOWyqTPc/RuWgI6tHspXv4445Y1Sk/XEkZ5aIDyLxNn4VqXvPGj6JkQSOYfaWMPIkRT1X
QHqs3cZEl8QKzicZxtMvS6ewTmzVvPeruH8/AEyKNrZa0JLZgwETEp2qGaqofUuWnjy3nlg+MsOJ
wr6N5wecbiWDCASyOH4BCBNGuGAlbjR1PddTdW7tLEMiX2cZaa/kBwa2AkmsJ1H9zgEwvxk1H8qy
n8aPAE0ZDHldRBCnBXCN/rphRVTuu9rjPHQj9uDkl4pb4jP6YO4m0yeB1DLwzwHIjMipJBqrt7vm
GpYxXidHFF+AOM9HfAeY/ZIWzcM0+1jcuk+ZIO+aacoY2CRfH7LC94PaMp6ncX60C2kH4E/9KfQH
g9lW2JqwwFETNm3S9M7NqEBwc9jcdvpZfp0n/zO+/c34lstbp0r794/F+7rvkv8VPMu6SH98On77
0T80qt6bVWvq4iwSKzDruymu+WZlKHDDAerw9U/+ZVUyEKQAQyM5w3qd1P45xDV42Ho8UG0UhDZz
YetvFaavWLUfViUuGQPEzPA7wTqYP7NM+tTIK5mlNXEWrj6SGYzIhIdX6mORaJudUxng56o48259
hI24IlHsnkeHUMShYMIWSrMHkxml5qOjkvkGGV51Pygn+uBbOtYgHC3NwR0X+4BRE20d8Q/2RYr4
PSQ9uJ4Y3+UOAdEaMynyurA7XXqFlpxzvSbfraDWOPVLW7Rb7AUxREqCmXWyYJ1kCpchI7ut5HpH
PThbuxzqz3WCrP8mTzCuajVazq1ogc7IaCZFma+AmZ9mJgaqn0mxAqln5woxbNTA2GO03IPvOY2L
ByYVK0m1Rbo4sEnjRYVtGXVfOAoNvyQCTg+ivlImMIBVWe46xbx9Zc9OEWoKIqY7ArVTDbNlyhTf
3ZrwWl9SvvAD3et0w8RoBT1gkP28IIVoNzmbv8cGswa/l1f2CPRRPVajyO8Yp0w3EfL667FHXNso
r77uFLE7OG+n2A4thr1kXiUuJURRFnrEXX6d9aBM9W6JBMKS5DR8kJkeRcxQzBQLr5VNLsF4SwOR
x/NuoqIea/zHUughqalWFfrFWO9cr0QjuLhgmsvmmrgq/4YxAFqTDK/YQfH57QYwJ5fEcbb7JUnG
ywQv725KBtSkqV3V97reereaxdmS5aj6/dmzD6UeQ3GNpP42qlG3gU0yT1oBl2Hq3fo6l+2g3S8W
EjHHzfSTpbgftkXeWyFcBVsdML+Qq9vr5g5JXPtxXMr2vexr47ERSCRIwGxtJyCKF+aTVuJcZcu7
Vnuzfzs1cbKZZ8u/NwgLwkKwoCv1J0lioA3/3wC9SjYiKQVG2CXa+EwKohfkSvcvm8Z04x1lALbX
iTLvgCqtW4496+t5n0a9dmng5RiD0XDLLSIaj/hKxdi/OyZ2DrIqHlGOuex488vEnPybxoOButGl
47yr9Nm6SpQmxjgwCzLB0Vdm9UKkky4Xcx9jVvUjXFLZ2Mwb9pksj2c7rb337Sq91Tro0KgkWVTz
/WgYli3f7Ntx67met4ulvhj9Iarx8Jw6p+nFsWjbOX2kD/TJyOY/a+a5IZ7gq2r38yhVYOQRihLU
14ic1WPSlueIMvCy6MFofmKtmA0IHOGG4DOOS+ESeW4U4p1tinSXLjPTyKVbyLPEpy3wt6NdJs6t
XeLxIe3w4Wp+Ul+hI2q3qunuGPInWGgg4ILKNdBw5pxDD45D4uaBy1sjhtWM9qxu6BwhhbDYgIHe
hOw62tDJpxg+vqHwiFe8BtbY6dSvTW4f8hieLqAYZ8e6F0Sv+hUsE/TMmYqO2aCrwPfq6QTBpt+6
UwrCuCNVtK2n/ahZ2md74U4DDjxoI1TMnp7tmQjpm7np3LOap3vGnWSfxOMeTZH9oEtJAnLf95tl
7uvr0RN3WCgNGMSM7TRF7gUKK5rvgnmp1zjxLkIup/ANXgjahi/Z7J7FYkTv0cKj6xvb4r4CF3ed
DbUK4PujVi7UcIMSDLUPmGQySJJ5bznLOW09QgMs0QVJoordrBPZvIJGAqqLPCAXhQVD7i3va+Lu
1szJ66WRV6h5I8IM0e2g5pcUfZXcocAVV1JGTCsViXmpqj/63G33dDPeNo3maFfLLsMUaasAdUN7
WOo6DYphYK5cpvoFkWDDpoclW6eGCmOgI0SWzlVo+D0i0K6Wj0SXYFws4+5d1suOE2PU9rGcXnrp
IFVOsnnbSTTvCNmjD2ZuMxJ9FR84GRxmPEOGOPY4OvODWVr2RQVKEAYAerNNE9e4OvvcOrH8IP1C
09zbvsHTlC48ml77os62Ss4KZ3FJAWyrVfa6KgG9Nu3ufNVGD35rc8naJViVmqxeUirbj8RH40xc
WJI9NcT/7vR+ILo9NbxdqTp/Xy9D874ZI/Hoy1jbdgM7g3qslnPlGcih21EeSrP0bk3+4ErhE7hW
Xvzgxm0pAt1nRxcjYz5LAjQm5thdrmPKyuJLPy89VHmV3QZFl/YuMXIm9rCWdg55eImYmSgSmN66
eQYdjAuwTCa50ZoVDFlH3t5t3JwIubgIJQaxTav12kPXCPXIGVcRb9+PzYVgs+AgP7udlk6cTQjk
oddZR0jjnAbWuBPYPwK4MdBwWXFuBmVpRwmq4IuprPJLX4ImdxJEd8HQ4VrjOeigsXV5YgcZhnq6
glR/Vyf9cJf4ufd5Yuy0RVDnXbaR8UHz+xcICPGTYziry6sSgbLsd5Vla1dcU3mAI3bYDDr3uWVu
o3extPYTulLU7UQZs4lbaiJ3l2gZAjOdn+Zh9sE510bouvK5LeEfD6Y45smUb9GYNF/A+w6bnLYl
BOuRHQYDSS/xvDMCYSfSbwpFh4hDMEcU7ZyruKsuy0X2WyAPgmTRmGCvYEzk2GyVXi5ntofRluHV
5z5L3hLNSSlFfZGiCt+M5lAcXIJjQzsSgIhwFHfkVrVrMUO8amdJhRpZM7c4StNnI8/faoZThyYE
vA9MycCfp577ReryjvnbCzFGNOzEnfua+74qdBHir0z3Uy7ckz+z52xoLzeuSRpQvDS7xe9PY4Ua
Nif1d8tEIodwNZiHbJrLozk0R3vGU5I5+rt0nHPS21to0Kmz8myUvzdIGA5IXtqjmGZN103stBIF
eX3d3AxrlFO2fO6oP9kI9PU9aiQoFmzAaLtLcw6LGS8PE5Rug/qy3E09m1KpeZ/oRJ50MBXvRWub
17jJQa979m2rd5xX9qfSKPVjuvSIQXHWXTSISy/61vjilmNAXfBZeTlhjj0vKdBRdR68BvOfshCu
wpSgYfLY3lGxuHe6NsewIka0y1SP1/DjoxsZ1SfJl07m5T5NyK2fFQpd+ssg0704nIE2h1LP9LPZ
ZO+mvHHuIsjNSDRR3ZEgVqFhZE2LBlHbuIPDu2NeYvFIv9Ra5YQImB+6LN2vxSaBlte122HVGv0L
o6lJdI0PLcOjTaKJa5Dw10ux+mc6FeA62GRN+UEWsEYWNb0dVX/T6N01E4UrqrU04BeTctMxHMFf
ie6LFKaAlDF8ieg5h9A2UxtTCnkSl1WGt8Mp2ypIHMm6zGWKrMFhuzEkS5R/xqH/yTiUOtz6SzrF
1bNSz5+SXn0hcuGHlcTXn/zW9zn+G1jMECro1DCRCJ+dwLexqGu+Wbs+4kZWRiZNDBquP+Q7xhs8
1ybIA/qyV0/jn/IdS39jrLIy4TJ9fKUY/a3O78epKL8aERoTVrpMDiZ+xm37JsFweaM1By8tXvD5
+nvNI7Q89cTvOMM0uN/PX1+PhD0IBbnLvOZ12fP97qOorMpaJp0jATXCOdAwvYeDN0ZJH3zXgN98
7Vr/ioixvieOwQrIcg10husr+W7LEndatMgmbw7UOj09mrhWA2WE0y4Pf/tAHrkujK85nOBYPx5o
cAudSL2lOcwqf8mL/CXS0peM//7vHAYaJ0o+x//lO+qcZFGJPTWHSMNNTXnSbhiGIVqY0v/GR8e5
CqAcxRleglcc7/cfHckOVp3wjoYI/cwkem7zNcg/WWW/eVNs4n4+HcDfrbRcfxX/rvq0778kdyi9
tXVpDslIeB0Tqztmfw/czh+aAVjyX3+CPwtBOSMYEjJ6wc3rrHiXHw+msVTn2qxB5q2Ma1cRXwEt
juhnLX0WHs1oakm6MVDUf/9UZOCLW9lH5+r8Amh2ZN0b2NKaAyOC+r5fEYy2r+UPWsb/+uv3uH5g
309wXt+j7VLJOKj7uKp/fI9Ln4EXQZNz0HpcdmXfzNvMENH9Xx/l/3MVg7r911FW2el3J4gH3H7Q
epxImj/ZF4acHgh6qE6vm8L/2ZFYDn9/pJGIOcwjHCkp+hn7Sva80P2Qu/C7y0tfP5kfPrl12gQm
SLAytlFarmfPd+8p7kcMM5rKD52DX9Fmw7LpKMexNFlPbepq6LUaJB5ZYsDCwLSNHur0m/cqfv1c
IRl5YOlwT1uG4f50htYA2LwSH/KhGYw6bMTAuIZ+EwzkOgdBuFGHMFP0XQvC/SDk2twUiHPM1qpO
A/MOJxhrYOrehEBEQon55CYpbsSMgRaLbX3Xu/nL7IHqxso7XDWuijayWdgQG37dguHkr8xJVG5F
PhpBz0Pr4E5teYtIx3jEi1Qf2UpFH9hwzCFxOTbjD9a99VwBzcGrgT9kcmJ2QUg1MVERQT+0sXXs
uqTa9nDQtp3hVvedllknLDPjp1fazitPZ3B0jpKBbhg9xTqJGVZSb2erEB+ZF+HXRaFBIpMPdzLi
TecDRLcanTuukaUO6e0Y9QAkojrUe6wwm9akPXMiID2tiKYtFgiCBiWJ3KXg3TEpajdlhprI7Soj
iLDmbhLgA1vH4SlUuZO+wx1Xd8GAZeFklViZM7nUF7qAK+etRlbPLzWQr8IgmWWwL6ZYzz7EXl08
OCOh9K1Cld86pfEY8d6ZSI46fWJp4Zx1sOVTFror5cI08Sx/8xdrFrwJBEH2haeBDQJP2n2I+Ggu
kqxtrp0+exE632mfOcZj6aUvkxqj+86BCDuud2e2ZTSchYFDVxaCTR9JzwDOWRxOd+Q3WUceKh21
JGCQIS6YVdoOs8qCTuiUwrwxUQjF6Tk2G/86c+LqhchX/azXGR9iX4A2MrTR8zCucuUV2NQg6EfY
ih0+sjzlQ4hoD4LFSmbwHk38FiQ2TXnspvkHfwFhU7ZjHUbo+EpC7Yd6IRlnbfjTCnfCFT1149NM
RsNTEjVY6Q19wPZM683i0RGVJLI8XR49uGyk0OagOdykPvEesY523LyF8NqDxerpoebifmtWNeeP
LcUagGvh0CGsLBkI05xK/1JOsAVZofEVUGBjW5sMRgcbaMJgi9Z8UEXuJhpDsWgBtChs/ejG9h3X
PcsdPPvJQ1dp8bDvvSp79kdD2yH7HK4ct9bRsPqsRxXUhbtR+sMTRIB8bzd9V+xGTRrkpDemvWwX
QonbjVQxO1Cym2DZ+mgxjIVry9IicM1g+dS7wcWRgtvXvnBnbAIltBGa7J4BKcoWgCzw7TTmO3wT
dhLnH9rYqE5TFFfAHJVBrmUGwCTxCV4H9MILocmLAYJpTD4AvpYERcbYq7Z9DNQqQ5626U2evmgG
2dZC2g9tVn/3KKr7PEyaKflS4Y08AJhEwO0kgHYsvX9q1Dzsmf+VeKx6ToRl9KoTGV4vKkpbhg4d
XT37VyYjXzo4UCx0p/uqNQ5dPXzskzk9lZVjbHtwBOTpeO5t0nNR6hUvS+jFcDV00t/GOde5xdJt
g0Atf2Tmt1wIf9qVC41kvExNF7DXJpAXT3KKRrvgpOauSN5d0cxh1Wf+tUldu2tBdW3B0cws2Jto
A+B4htjA3a0cu2FPN4gOz+J9G2X2jPbbu/YwTqCOU+vsBtpCjc/3LbxX84SMnKNxQ/3QE/oZiIIJ
wFCt3BrFrmBTeq1/3VVwcZQmydmMFfecBKzire6AybQEonibG6WU3D8YbK6zd1bXBrPDkFEyBhjb
7L1b5uHyUh977mSvxV7vy3ZfYMtFRM2KuTRWIBIhByGUQjxEhLoEBo6hT0SZHoFBVEjmleAMRm8j
0+LabLp6l4wmKcuK+b1iGb1Ja0ZUBaYQ7uRt0qebUrcY1/HppJE/hqXT69vXuy6o9Pdd7ulfBHJU
JiucIzY46HMO/Puc2QxfByZ33OMoZjaa1tnnLLZ3Ch4XqdvSCGwTBkBLUl4AOql+l058QosL6RFZ
rYSVoMag5xtGMIzt8xBDV3s7NCROefgDT9HSlxgAufdoMXeP0eeiz4eSz9yv+x286ZY5GThmMzLE
R1/vu4tBQxhPpO61l6viwJp12GcwNfZQh5kuyfTaTM3hiTE6G+Ap6a6ibHlMhTk+Ir70QhLa0721
6PZh8VNynxl7XzcshaAAvYdSUoapmbyQdk2r36XvuJ4f5CDig+HV2jaJyzbogK1cW7MyCh6L8R54
xEfNrnvEpDz0cuCnRy1NiocWk81JVtxxROnpb1OhN3UA0mBuvt5kHYuVysJ3wOoFI3/uEKLHc7sK
8B1O/aE0bEvuK8LLDT1pWGCrNdIcSyI3s4w+kwxGI8MZrsciP1aMlwi+aojIql4j0rFyMkcvGjMt
N+StrzHqr5HqJIi8U4xkTmNrlicGGoLoda9vT3gP+rDXX5Ngo6+5sPNoTOXCw6dY4X+lO0Z3rTGm
YyiwF6KOJVYrOZGcaZLgSRTP4J2sAU8uIdo96UhM+HzZY7cCfvai5iwBQgrE4wv5ZgRapzGLJs9t
9IBlDVQLs7XFtlUT9/XZwzOdBp3sgNo6MOwk/nNIYsxVs23XJBKXLCvIAf2Yrj54uci7oJ6K+zEz
p2KDsQ3PBvU9wWGNOw+nqkBSnjbio+X1h4ZcaaaRCI0ZRCY7w+H64sYx3MIF1a50s9KysMNju9Es
lj1cp4a5qTM1EyTjMc5q+26Lk/cZrUK+dRGUbg1BzBKSC/2JUeKEjwON8GaKpQjRBcAJ8bFcnLlc
409x4eo9mz9GTYU7+VS3mnZMJ1sAGYtL7m9wRrjpx1QnNGxgDEfLL+yw4Q0f8n5kyebN9vAbvr/5
SzG6FsT6SvbHKMTo4qditJnSWvOsnnjisrROKKvLl9ps+QTHbkSet4H+Om0xQvCxQTLuzgMqEaD8
SXPd6JRVqSyfeXBVJ2a2RKwbtDoqXeM3irm3Lywj9S/ZNcvL3AHKgQGC1W3XRzb6cq5Bc6JT2kKh
iO5NUHrPLMZZN/v8Y8/KzL0lTo3bbTRPxYNI0+zD6z2wqshqCsYlN34HoNTXNuOn5kAwisEvhb1p
Xen/2ByoZYlhgYji0FJMhI4xDldd3GMM8CQ1U0eZfSZNke2RATR8n/sSoJI07IvOJNN5o/u/65t/
cVv51DWrwo5B3zp7+LlvhvHB/YDXI0v9oRfzhcx5vowuHrOiv4vIPd39dW+yftk/fQA61jKO9BoE
93MKlbIGu2R7WRwGTC/XVQSR4NXBWFVJfaFZc/0b0+YvxE8EgugkbJR62CbNX7I0KkmxZzl5wc21
RdfFHbPGXETiaZhxYnVaDQFDca5B+R5vXh/BMC9wriZQk3aJXmhBlGP3rJd22E8wEv9un42XE5ub
zaskh+UXuxuh5SO0OD09+PTbe1uLoc5Z4++uwV8mFmukDyBNiGE4EsCY/3ja9Skhv05VpwfHonJ9
pQtVyHJB/OCJAw0JTWbOqNyTnIrzr79w49d+mPrAXOc/K+wVUcqPx2aPaKH1G5MDm/c4OhRW7V++
0vhKVG0XqiZb4Non3/UBZdpD7s/ti9bY47abBxsmCrkGBPTGIDg2bdHDsYm7hloOS9eB4te/JC5O
fYZPE3VHjcS2+OvE5R+h0m+ESgadLvemfy9UupZf4vrHbPGvP/KHfld33hAh5usuKdiQ6lYf5x/6
XcN6Y4PDWw3bYJP5W/8aVDtvDGdNFmeK8ErN51nyTb/LoJpTmAA2kxEY0y/4ev/nf3+a/iv+Ut98
vcGon/79+6EuXtIfb0TrVJ0HEgqP9eT0fgmTyrGR5FTG6U2W+2bmB6aOKQf5ZO5c+1FjWbcWnE0F
64jWcYcpDLHFZhxSB1bsUI/TuUVyTkuetyDnOiJHzLsEqUcxPdoe0xYRONRIm2ao8kO8VGK86YpW
fGZOPTIKd1WVguzTE09sDLgTyEhq3HVYi2rfirclKr5TmVX6y4oCrtn/td5HbcV8TQ6xc25uMWNh
WRdMnVvccd+K9vFSLyG+LnGd5ykcp8p0ela2hizZOxeNJFPCtLR3rtA+ehOEqhLhBXlPPuyqZEjZ
nS3Z5ZRb6dEd7P7DmPXG1hKN7wBqcZI76Xq4kFQ9zTdDv0R+2Bj41LZmwzuG67903la1RUNwSpJc
tBHJ30PKtRuPzscUvf87NThJdraNSSPAsXGvUykoPuZ0YrVfOLMd8ODjmRf5GPo2Cv/ZfO/aXYdq
KGrmp2im4EN1SfOMIza+dy0z8jFKkbuBWSsZjrB3kotlnKYnK011e+9YkzjGlTlsfWwLFfKlrKQC
ZvINI5Bg5kdya2QQx20GapDR8UlTFehjzQasj5BooW/LR7eH7mlxSmRLijcUYKpa0A0r0B1O4c7v
u35unRveCc5Yg14CHWWBgCwVvblVQsJz0bLkxZUFdJw4zQ8qtaDK468M7TalDK4T97ZdrImoddIL
Q4MQ8FtUa/I01xbTiLLVb7kpjttqKJ1TZLkzyQvSdj6Pja+HExfN2TVIK9okc13if42ZMDDPq7Tm
0oqxO1+JirKiORm5NQI99kGFed6WD8JqUEszQ76x2InWxwVVhrWKuOaY0AIwRihjSgUgKMpB7GyS
Chh6TsWLsQ98K5/eba9ivivmfu59iVZgDF1t8psHCngXQ1cNxHYmz4+BIADnMjCnCS6xY8SqPmUQ
BPxLB9XUZ/Tzc0N96oIjKby51C4Hlp1qxVPUZzpnHIhVl1w4UTU+G2CV8Aaqsd/O1H3zcYrnxA5U
bVTIFQpHJAfctUZ9wC6Dm7jTZ+ypQHO1jtEmeuEqTlMiaGZ9CZKWPAsy06OSKzvyXHr4Zk67UGZ1
j+I5YllwuSxp3zKpQvuF0Q7OccOcUg9EpckF5xrJE4jtRMoOtuxL94qQjfFcKFvsZe5Cco3BRHHG
WeQNZC7Bl4Xmpmf07MWwG6KIoAub+kiGZeGNTwbamH3nTy0yMKHulgk44K3fa5+0xa+4pjSHdtez
s9k+d7Wpll2Hw63bxf1cP01RDafSm/vk7bKgE9lbUSOrPf/nSsnTSHI4cCea763Wn+qjYTtgCdOi
MBwGANQ2x9dhrlk38gWR0rtXPiMrYbXcD7kxNIcxT3Qy6amMQ6/R9AtTKXG1INe+tapxbcAsPyu3
WczdzO5FtcnnNtsvk+mdMiiLaAZGDVjItMaYuqaqSLNqZL73vEht0Y1HjGL5rupd3MDvMoCm3WrN
LIad2WPec/zMuKidioG0lzHJ01Bfk3G/phY1i5WGwiTBeUNeVpx9lK2bPWds69+ZshjeK2Cbcitr
y+Jas6Yh1DKE2qXuaN1RxrEVFGYPMwpWdSwv+AuorXWtQQZF7dTMlEIAehM0gmj2kI9brt2ITTYX
1hBOCMiIN3LgituOjM0NJeRw0Fq5gkO7coy7TQ0Eyrqqq6anDwX2/ZbcLfNhGAF+cwqTpI1jhO8G
tNvB8Ub3dlW3hHEXzTgNk/YI+hy4WrV0xhbNILOBek2MR+ZunQtGNQMEPrfUr2AB1leI4pxs77W1
+dR201M8IXTfdCh7sB+mZKkHwyA6tSFHaOqvyqbUz8usq7syqzMZ1Dy/4lt9IncPJYdVzMuMwMjt
XDtjkIIT94SXd/TOkDu/lf//1FO/q6dYu9N7/ft66upZzsVz9fnH1f/rD/0h+V5ziNYOmtEsBkMA
HX9WVC7sYWKAoMLY7PFxJP5ZUJFD5NJUrIs0bIyvYUN/FFT4FFdRgI5EGYvKWm79nYLqp3KKwwvH
o5cUbJThw/zcSFaip51KchJ+Yt1ecN5b1WXMjfpdyXnGs9a2f7ML/XlByQGBIKNZx2Fter+wnrrC
TzptcebDNGXyVmjDEDhr8Oh3X8K3uvH7OvEnm9f6tmiPV0E8mgrdeG1uvlvmdbYS7MOS6TB3rGsY
VrW3eS3RLLkWoEVtBPmu5Bhi/dfuFPnD7/768PjSfixTeQG6IwziWMkg5V9+VlSgCIb9OrsdUAgH
XtQ0JsuucBNxGEjPvpwMQiKnbKJQnSNuDpsmMiMwb02qoQASpn0PBYCdAs+6+UoxggVQBIgRDO2Y
YxjK+bsFaUQ8pguNucjUZIA87UitJZk3zy9tN+d3xMDl4TJ54N9YhLDmctpTicacxKh23rMMelVO
6lhvSEJi+A71bDmIlrs1bUFzlmMOhXcigw7JV3QaHdU8g04iVwHv2fwCRGXZsZkdHoq+mvcq+3/s
nddyHDm2rp8oJ9Kby1OOVUVPUZSomwyKEtNnAumBp98f2DNzJHWHFPt+X8yoKVKsNMDCMr9ZW+YN
dIfxYkOecOGUR0fC7r7kBQKtdCL5h8tK02eQKzRQwL0PyRwB4Z4HYXcnHhWtocwB2EsyAXHvAuQd
t2lHg7vHP8oFa0eDNlq7/DaQur3qfJRqUZmg00prs7/noEaWZY6WcQsZK0a7NtfXGt3TY2o3y86D
RIUVsyvvh2ZMz3qK1otQOmCSR83leOP8VNrN/CRLHX7g7cC8H2ifty7t5Clc5atCAWGbRQ5raGnV
x3xMu+fJ1rwZCf/0GC4Je2jp07M3tiRL+OIdpczV28II/iOqSuqjsvvhU9gB2kpXGsEyG53HqdbD
p78ctzrq66aJeSJJKRHQ8JuFMWo4aRv+LvKgg2DgsLSzu++kWz2IkPbv5GThFsWX/tVP+TKrqOS3
Wenq7Git0ABaf5JotbCdgVmoi7CY6hNCE+JGRbgdwunHCQ+h376FCDfUJygFWCrB3oUcZ60XlpNW
D4w+qkMY5/IGFS+Us3Hv+17ZyoYrOFaHpjYmC7PTfaGxPz+lKMheJ3LmV3nAk0WDN4CzcsfJYomb
tDKb3ZLBrZXZ89aHwLQP/ZIDMIETgJgeS5EUd/7uVIUyYGv/NvN5E+mM57PfMtKB6+UzREQP7w0+
o3iJagbxK4N7WrOIMre7Lk/ThxDBzlc6N/q6XXL1kZqnuEBLt4L0KKsDgjQjLDZmhYVPFpxntT44
Fs92yHiPJagGiiKWaA3f8TvmL9VBV6jTIfrNm/DDTl34DusfgqN4rrMoPdcYLyyIqZ1zWp63Wfxm
T4k9bwqLQRumDo17yofgi+0q+dlN0+kpIxuhUWgxKX5vEfs+xmxgVL+PPoqjaMGxKFd3hhTGiwoj
azyk0qep2nj+bTIuwe1E9/OxLRAonsBcfrHwdMSiq9IHoMTdFw8S9mXpWcGHNcYuA8pAnGwRXuxe
YHpTVRUeJQlKONXu/eZiemUn1E+sh5UsfcQqvNTXC/ojn8RgVQ8KtfF4M2c8H2d00jOKK8jKLXbB
IA813u0KIeUiwEDnVZDR85qaCsSyymP5Ge42fR5bIWUcup68GakmYpdBS+JU4fMMPGF8LfrJfy4c
hJGz4+zp1j8Wo7ZauBP2Ml0DocZJm+Jr8h+8SqmNRLL7oxMruvrhBDTVQQx7J6UOD6zDwN6MQI3a
TYd5HfpH7c3UIVc0ssLOvlXdjfZg3aMb8WAF041PcnWI8yi4131A7IxW76YPsg9pkCLmJ72dHbGJ
gBfkp8atPg6wuvZTnU77yVdfi7iZ9gw0viGa3JxQ6nnFmC0/5ZrxRetM4qpr5mVfBzPc1TQbvznF
IPdZMVyuTKwP2LU751VXyc5RfbTF0zJDx5Uunq99dW0lYsZeRafnsIzPTC9BbNcS+1mRpPKE1ltN
jbP6W4ly0qYpqhm5p7p+IyEf440HBeICcQ21Tfz2QbVRsYcfmVyWeSZAoJfLIczZsJK6+rJQtO+n
JM5OWvEiGbvbJ4ql+YhPjtqK0YtRRbHcrfBitiWiPhc5henWtRpc04IiOU6Z88EzZEb6PsMVo1uv
3rs8+9dBLAvUG5lYGgln3iEqtON8dEURHUJn+dJST15NzMi2IACmU7ZQGZMXhBVHWCh3Kh1evW6Z
LrIg48zjAI8PM8pCm9xdR8RJQ/lAi8jZOGM10LGYcuSMK9oiSbx+iY333uJV62UL2xYST1U9J0jg
RdtwDdVFgqfcso1C6jsQQPk2mn2PDNGT92Rn8QH1Yy86CeIrxTBBBDJIJdxhAze6u4Z/gawxsHME
v2z35K4CBZ08Z1cNEGkZ6rcdK5AaNjiLsF8/arSQtz1iqdt4aI9LvfNmqzvD9dEv+D4FJ1c1+lGU
osu2zpAcVx0kp2ZK1V1ReXo3pwzeqkb4aDjWDcsdSHy9oEE2UNHfR4MP7ga4wLTJ+gUyl4gZcs/N
3kpqvVnQLdrB/yk/RyHTh9hWy8FPDTkjma2DzFFYnzI8rRyLs7ywl1NReCsYkHneZVaGjnmcORcQ
sZx96HX5KZ7XdJ8sKSVS0jE6q5DRboyetiO1OitI5fXGfxfclkZ720eEOzdq3Mm7MLf/LtJd09Db
NX5eGSlo5yTyBipyAW75sjYa31Np5L6jwEh/u0YFHI1yOFdIBtvfRdM09Q5BlnDdGbfgk5Yy2YrG
6i9QiwyQv5yKAgNpZMl9BLVeG68M7WuHiYU2VlJVialOzuG85BWKSTZ9Z8Z8DBcORin3a1c63Xas
F5MXCHmP7yV1rERhdh+Dlrm00EsG/KiiMmL5Nfmp9+b+CvwggspgLZCbXrqgOK4tBfIW4mRwq9y0
OAKbF19dAZZni4RGZd6NjfI2KVJZepxDtaOP9KTaK7AomJe1YvwWFym+xNliMDx2NXDgCKLwW1tD
txfKSh9EFZk9UJEmRKktkK0OQDW9A7wk+iC3uiisB6sTuKsjl5QfpqqAy5zZuGg1JHkU4uGKCq2Y
tNjnRindwcNqoyaywr+SLwm76bF0EBNFfr4EDRHAJ9o4TYrr8aqUuycNDT+slSQtMwlju3dnv9oB
iKtPHtJXV2gK6CMNEeAD3UIw7kuGhY1Ahn6XBwOHe9J01gPOo9NTgSr3bdaQabRBKG4y/X4Vifzs
WSFpKcpqJijrRr2h1wwXKYlIT9Dyde4Ig+03D78CegRZOHNqz4TKjEBklO451AahLnLHQta5sHl3
qHHFtBKbXl0gxKou7bnk/qd52WUZZ3lHsvUsBhAggzLpbxJ2z9G41id34Ba8zHce42ZVb7EScC90
2u3bskgYUi9MfpXheQCb8+pT5Sby/vdFBNIWP8/cTA0RuRGaNIGDb0zyywRm6jyAnKUcj35Btr3F
Vj24jULaDBly+Gflk4TlCXeD7/x6F2UdfZ0h8I567L5kactiaD15HjwIou0i5Odp8v3buXDXjwtZ
7uEPF+v9w8WiAckwDKsDBgG/XGxMqzmaLW84WujCQxhqww9KsLhp4ua31sSbJvzzUh2IS4/VCAjG
5mw4AxPsXkpBrhoBGflLxOWn6cGPVeDfZlgJpRKAbMCwyH78g7DwJHkv9CePTeNJOKGJl+4GIA1X
erHmi76f8h3hUO+Vh4sGlh1kLSUY3YsoN1vDn6uHcvENACLEtDENum+iqKP7GCmJfTJKXFatHtyk
HFEy+MPj/Kf68a+3j4kDyie/4F57BnydcTQ9ZpYrz2nCQUgpFLVbiXvGPYKSlHaQinYzm/LLoAAv
tXirI3swBn8sZv9BRTZiEETzgqLa4IrNQv2hmg4AnokaVuhxlZxpSFWKci+bRB06BchTFO2yS+Br
v82umo9F7EHIdNyXuBSfFpib+4L+2t6C57ybRNNdz73rP89CtNewpqpLG1b1F9eHr3WN9287X/Z5
Hp9SNMF3YN30oVjZ0A2h5JglRXBrg3jZ92tDvloD6SOB1Id2xT/dz8nmezktO/gL0xNMdethzvrw
gxVE6q2JMyxe3db3LfBfxNjQD8l7l66GvUsAQ/KBnJ1imbokq/ghTROxZa7UEInfc/W11fIeiW0T
UxKQHT6t089JA+nGt4vwg+9VYu+uqbipEEq9KidJDurQcsjmfH7KtMWwiElv/QWOfBWex1pHM3S4
JeMhFegZWuswrvsgq3LUPoWX1tbR88oJm4oAuRFUzbih1n3qUh8RE2mscKNQ19kJBdNil2rzFykJ
fbqzh9jBQhdqVzxvcJ9zL+mvD9+i2ojy+ws5PR1+tGagDnLHWZvgDkEQBg66ksoDfsXGUJHkU07b
R6pvQmzsD5+wMAy3yPfTwA+srkfvXejrd2O2OPfFV1VOYE8LCGrgOdnbuN8hvDFSUORtOD2NRf0l
6qkfNdyPZ4z6PAypVDFTVPLskgpVy7PWPHwOHeuhL13v5HBw3Fce4Nu0yln4cTDWpzGIuxc4dN2L
r1AXxWAYzVNCSHXwsBW6oxKNr7DgRAhwoegP6xbufEMts64OcrErkXE0tR3QKSNMM0LV9nW9gmus
lwm2W9ac+qGkamkjM24vovvG66cn22Gu5rZu9xIMeIMiKa4uhUP1vMMLnhNg7Jzhk1vSUJKM025G
tFyJJj6RbUzbeOfFI5VR6vtjtO0CzR4Z7KkFC+TwTSRe5WtnzJfwoKs3A9XhJihwcG5zzkQpJF05
kFXJZk3MEZoj93gIVGQo/q78vCgsYJyFNssA3/UqQ6nuXKiovQoZ5V30HKAXtK0DcFzt/IQ/GeX9
Al4hNh2gBIzVTQM1+BjBJf4Yw1x9w30l0/si1uKZodbdvEbi6zhhi7zYQXbrtP6waZbcCOTxS1vL
JM7mqlc/oYkVF8AR0b037wChsJNjtupqzhq7qpadoFnyJZDrdFh7vAY2pb0AAJ0LOiOmeC1WmwI+
X315z+iWN9OVpCLvZ7FoM6CR9HrUZcWYGTfmfqGv44U8KtOU6BjsXeoMlaR1prv2vgzdlRYMy1va
x3Wy1LWf0fHwBiXv3zs+rcfyQQIXtVWHzgmqqPWpZnIGzgHEfB1jezWlOIW9tweszOIx+JLKloYj
j9408nQRq0MlaAgtef7Wx1pda7YbUonopqabBa+bbZzRvbKxyXyQwl9BlgHUoE4hJZvA6d/JCduf
vB15xRlQutOquSMb/ghNHM0W7BJwp6ikgyHPKjvYisnq9knJEmxFhj5H27BjsrUJbl1sHj6Q8Ng9
ja95+DSWPR1BzazwMwNkGmXBuMjXDNI+Q85RfWwttnnq9vXJMs0VD/GcimXspuf3Tg2jIPQHOG76
bavRtcLGgGaPRPNm7zl8/Hv/5v3AXrEWoLmCXZplW99t+50SGhkNhLohWZKDXR3+WpoIFR+ET2uo
7Zz0AZBveyU6F/0aKGlX8TjIz51Dmu4MGT21yeTKS+MZiV4qrW1m4/zUW+7wrauT7gvAEkC0NpIT
S0Sc7ZacR5gHsn+1GR9vl6oCvopiFK0chjVHrCcScGbNnexNGB7SbrjEKoaOZFJE5LxVzz/nQEdN
2SPhy03XmxzJnAIUaF+cmCXh6wnOr0y7F3xnsttoErSNerN+GL8fKXVoRobcTmq6X+/pbYzIMzag
bfXQLDNdJAZwuxBptMf3s8EZaQEbl7/biJBP34kmKuBV/zbKrICjYklgSyekRBKb0Uc8meZt0vj0
zxCqPWEiN8P6LBmshd6wKSZeJCTB+qSAPVwBgUQ/zCWJbcw7yEkRnodhgQ0Bi4HkfHGIZn42P6mF
NFlU9OfsrnYfrQYKeUoc+9xh7/EMuSw9078It+8twXmkaRm7Ij0Dblh25UoKMhBNBBbCA9CBeGWF
dCuJ0kix0xgDOBxF6YJiO9VuGRJ2X2rXokG90DNGfIRSYSRx9kIw6S7N5T2HPYvwPcyuEU+DzhG4
ts7PPlHVKwR8XSO53QwrXajeW+96mjYfRUTWbumFlgXObTxMm/CWz+wj4CGcWuEsqPE81pqFpPC6
0C9z67UpTtDN5RlAG01EEyo9cF77vvKqW4ayiM1g4kvXyzLo04TzAWQH3Wnd051ux0hdv1vUeTKa
vmNntF6MXPoGyjUbt0goQkTdia/wy0g5JCzpU9myyQrcRW9hwHyZ54CnpiPLOwHTZ6vMFc9ghLix
a+dFfiYrKX0UARSsX3wLALC4U4DOjmUTZEFrz0+Y05PNwnzfzQxxr1Rcabx5aam/f/m+MZUBomws
Z+pfg4UzVXConBhSrnera6lDk0NeRuyFDV2Q4WaRMRjE7CS79UWkgZ0Ehb4WoaYiWyJ1WKE2Tr7u
wn0+UMC+N4qjQXzxXSrTpad9q1Z8yACYIOFII4E7ZlRdl8txiv1n3Wf5TptJzEhDZT8FER8GSDs+
jykGYe+p8/+NKv8wqnQ8ZKN+qDL+ZjFwfFleiuLHQeW//8l/oF8B+oxmnggP2DCBQ2qO/0C/Qvtf
Lv4BAF9jP+BHKFf+zVF2XYjIBi3GSUuFhbDjf6FfTvwvJl8GpAUtlv4ZQ7JfoF6/g34FP5fD5CaY
b6MnhCoEUNy/E3o5F2tdBpn7YRiEmDYIYVOCz7jk9VttSgHhZ/19XtS0oiMjf0hT8IGqnAzIt9hv
dcGxWw8rpxl26gv65s52TCyxxwmZ+Gjb/B5cmUn3jRvzXdmvAqNigeFKlxPaJt9198LhIHEtyu08
IZoXZUUHwWXWpktPH5OMtMy0Hr632gJin/uLf2sZwaa1rTHWyQmXL7DW1EvEdKTYZTRUHTKMmUQF
/K4+wCiTZ8y8xNfJzcsXgFjqzqogBblxqZ4V8jfbRGRVtEVdefw+9xkq1QKT5Qyxy/ssD++d0SqK
TVcP7sfJo8X8h6rUM1Xn/0cBv7+CMIQVzLQYKDUi4T8Xgo32/dLANT/AnklOYOCDvXCNcUqCk0m1
8VxpdBDdJrlDyM+9aqFIAbUP4w4n9woqhs5h3uBV0Z0SPc3gUoL8xp38jg55ZX1qZTA85MqiDCrK
8hq1PCfH0RR18LpG1yTLOcGmwetu47j/OCJJeAzEcoUCj4s5tUvRjq+8DOXXHzbJ3V9392MTIfkZ
a81NM9gyCxgksk1696tRjSAXzGi4tR/8rkmfaZqudxkKkp8d11/vLPS6TxOeeqemXMa9n7eNC4SM
AcTgcXiv02p/FSgyYdwbLOtt1vrVeekY8KaK/5Ke635HMcK5pMxfbvMpdK6gZKx3QZw+AXNx6VgX
9VPVMnsEC41RIFX+RW711kU1A0lTKPIgj9uwpo0j2qWtvW+UW1dL7zrHdzQ97dlhRBXT24GkqvZr
QM4NQDA/BMVzLZLy7Pvd8lrkIInr0VteRQ9X9J101o8InKWQ57Zing5jAaaFTVnd0OVhMw1Vcay8
b3ZTlBhEpH2IIWCpoS/6hkcNHGzaFUw9Nl0EidDWEIHcwrQr23Z9WFveknFtKK8blFE4vmr3kxpb
8T2uJXyyFv0pnNmCRNIVxx28hd54TFZRXNbjaF+nuVrvYkO8CyrJzbkeUqp7mevyqPocSKj2M/cB
BuV6O4wOD9TFF7zQ1DlLYPamVel75jNIq+WD/JpkVXblYyawtUHj/MHj6JeYFYBCABWLHjViegnv
MjFdsx86J2aGnWZzZD3k1Hn3YzK1TFWH+kmt+AD10ZQwBTVrp+/06+JiXjJg6aso01X+jdHAeiNC
cnI4OvJTxBBwh0a6fSFj8Xk1aYacwuYjZh/Jtpp7TKPL2Wsvat79VWeEgeyRWm4IkPdUTec+rHZf
0WRX3CoMXSqiPC22hCt1AJPgmoDaVec+EKOzD0bL3QOJlPxOEAA3fdXp+/dlSz8y2eKmp657GThX
8JbSNxI8+3NsNcMnDE4ouC0tb4qhQHMeQ0oazx4CbV9bu7qQHT5n22lNJizYpyk0KvpVtK/iHOim
LTu1//3W/bX/x+PHjBXaRoyzdxDEkdnaPzz+RUKpIWtLH9xehLhfORH6Xb20PpQ64Q4cqPHbUA7W
Y0kvAogffpr4pvVtvl7EQAXVxmMPwt6qZXqOGfi+VHOIzFciF4y5hdOnz2jRcjM2fosn4KHWH7qq
/3QDvjlendDlXHaNmvKPN9DqagBunEUPdCDhF5UOAGaRZQeJLzelXkucSeVCvHBN27zNA2sfMk54
sVM7uHSWMH1j73kEZtW9eGuE4w4ai+fcFVOKaWCcPtYRcobARTMUv37/8GPQSz8cFmbtwxrwIwf4
TWT85H65dpDGRa/9JXjopoBW2jIM6RurOY1hAMB2RvNQX5dQM25rBJQvRpQgEGFtWzwaRTGfO2jO
2yVx+1MdLD3CsNJ6HMMmuUgWuHdbGn0tqfpQXEUu9780SU0fZliGt5ljgldU+F+HdJlONihLVM6k
Xu8mf6nai2iGd8iUXcP+hTMzTlP6yUUq8mjFVnweCgngII6YKA/0MQXY4GdKaSyZlzlFozDv97qN
WtScXHf97mQk+RDcDGp0EK6zpw+XHLyu+uogLjHkXis39AXFCSRi+kxTqT+RE6x371svTazsW4/1
J9rEFX85od501mvvPtQuHPpdU1LKJq7Mv9kMzQ4lsszPrLz5u4+6IxHEPJoS/AHsW31tOMsF03ci
nwDcbIql6tEmHcdyEOUwXBNLhqpNB+wkX/EDRN6r7+ntWX7tXuUrzj1BVK83paM5S36/EEgSf10J
iWcwUDjuGWEF2/0lbSBWN9NQzTh01g49MGWzwTbvsbleVgkESjKKzZFNwSYqzw6kYuIldEd9rx1i
0h4K3Cm3JBziuqzPsqgHQOiNXVTb2SoLiGhZe6CwMNsVQYyvilbKR8L/+NVd/Pn7BObL2uFT0US7
IY8hl7WkY9fglIN9Q7nIOvBbTClqr07rA7KZSGZigz4d48xad0oL2Ih+83HFS9TjKgdVo0RQXCQy
tO5B7qllN0z29E0GHCusrxxSruyOq6OxOjdzg6g2DRTbvFe0pcZPgEmPgVVRu60uHNPEU58cmuE7
D7fnDdeTN0wK2RCQRVmspYtqVQgg8BWKULPr57k6d4xFIajW4DhCT6O4Kd28u6b37DMXnar8iXOg
eBosXIpoYMD73XRFU36ijZtgbF3JMDtCPbaR3/aIBqjIiPwbxh3OA20bk+CgK3G28Ru8QIog3PV6
Bv3q5fAbxzVvbG63IuTV3cCDoqvAf6cjinAblbva8HYH39/VGpehLBuHU2r7nDraKb2vOSAsBcYr
FNWlBXqI9CdR99kIz3CvM2l/bSib4R/IBr4gkd3eWq12rrJgqc6KhRDTJeve2WZ5t2Vk5n12MBiP
WU+TvqfETgEFR+X60JNbHhHUSpCHhrn35oZVfILuYO1Rr6wQAUX2zTjdYUpCqQo4ZkANYYvPcLRZ
eqQXNoUkyzTsJczGgwoPEJHaUH91/YYz1sPYSeNXSNpKl6+iM12jUnITRU1+58KE3XIYJDwZjDzv
3zfS/1W2f6psAc7+EHL+Vtj+v/plqF5+Kmzf/8V/6loX8a0I9S0a2ohBsVn+U9dStv7L9+EZJm6A
BhFjy/+WtZHzL6CbRjsK5aj3avi/ZW3AtwIUvGJoiZHhyP2vRJdN6fzDMWkux3GR3cIjBk4VZ+bf
BqczQM7J9r/nNt3Gt9qYntu7hdJJjrtxLF31VNY4CR0G5YEEGQB5Bq9rWosWH64ArMpBWD5neCVj
C7VKtoFN7gfyJV8/9jZsFtBEPp2cEGY/mBiULbxZ0kj0ENTRlAUlSJxbpLREhF6BLawFbOOEAUBd
TtnImEslhYt3LAKq8YVHc1Yim1GUQdKz7lcrTg/tXA6i2GLizNB5+8OL/Ifi6xdVHjhmsD9dnFf4
H8wvpss/J0DdEDrdOOjguxiWOaFln0U5XcLex/HoOsE8jo9cnaJt3mTYF+oRLTA0QXHHnnrup3WW
7E/j0F9yMi6JUbzDOBkHF9hwya+kTELy2nRDn33DqzQA0OIXWXXWIC2xX8itkD73pmGi4pRGijGG
113SSUD2zxZd9dKtjCDkJpogcp1rex7sfK/TTE875lC8iv046lw/5X2YUgeHmmh9o3Xl8GNN4g8I
HtjZMEXJH87on1HZwMh5yDRXoPUFTgKTz/35Mac5KmIWEj3f7cVS4YcAj/vuoanTTt/9/oX+DMw2
H+QxTPA5biFox3zezx+k6kYmOlzTbx5v25jM1Gnlw6az2eGrh0rC7TJ0gYc+cxjU1kiSnUXzQ4WI
9J8o1D+np+9XYiTV4bjHoFPwh/35Shz4PmiJlOE35Gb68CYQqsSaDmEO+mPnDBnGIPzfPmSMh4Bt
gyGD2cxT+OXeLSezIkZV3ms9oTOjdlIJCzmROdap+hM/2eyLHzo1PGcCF1xtUnC0wAh/P98dwux1
hX+0+20lRy38765iaJWfUkZI5TnrkOPkCFfhNCV/qLn+tpJI8AI8XkC/Y7BMb+TnD4bNM/RJWQ2v
q51MMcyrqI7nh5RGEE/392vpF464eYUIMLlUdzg5E7ztXx5oSRemWma3+QbeMI/sY6qq6K12R2IU
1ERkOsTtmujUbq66AkKkvQ9mqA5P5RAh5A1skoAIZQ/r9+S+LEOEGLf53Lr1VQVuIFbHafF90vjf
X/TfXkxgbGx8ZLd9B3zPrwENU7zYXV27fW3V2HMVqI5X5dvsKCv43HVN2Hk7PDQ6NG9+/7nO318M
VBOapzGTDB85mF8iacrEb4VQan3VAegMvU2ioJiwVItRkUCPGG4Wgilskyp6UXmdIbMl+75PoB1a
oJEfi0YvvaEaohj8NQMOSp2Dgo+6DBrlg+b5/dWyL35ZwFwgopdmm2DIhSblL+82QGwAol7ffYXc
CAsO31Q16rshXJm0bjQK7MgPJYMYwhuLtJLdNIDt4DBoQ6UIlgksM/XKAmzKN1ymeTIcf36F5uTs
+F359lcAhntHdMGNMAs/w0pPUP6bm6hipc41jRjIYv0YcgwzLUbomOF7akI0Rlo5H+iiPoFWT44+
27NWpqG+kSDEeBYuKD+CPOyAUJYH15cB+1vmC7bzAsB78z1cJqdw6Nmlg75j+yfBZ0SEWJoM6Equ
0RFlgju8007O52roRImAWohX5JMevWh+nHsZzg/gCfERo3YviSCbPId0iMQxtRwfzeS0qNS29AQe
B5s05negVmKXAIFReGvDFsfLBfl0WB/wzvgRLMNI9i+ALOfj/bhExktIybUkBA891ERkBLOEj7aK
JeHHcXIwn2ZlSoQ3XlIV8lnifjgfUx8lj+vab2M8Y51hbS9zaanpPNEJZS2tMWbUagdmxVGXMW4u
HJY2SkL8IePUZbeJWI5oWHXg/avq+O8bCJAn5lbh2SVhubPt1OKBBnbL8hvQuiOI1ZRyFl3AIQ35
o4gE8y9K8qpE4/GvhwCUwoL7XKRYy29ZcpDpqGp0wDOYoNHy0avICY7K67gn7NnMU/UBLvDkDMOY
H1iWMa9QjeknZvvABswnelZE1gbUDSehjVARXawdgd4sly4ZObW8qmtZNGUals0DRWcXRYeShiHL
RQQlWr2Aq5OEVZMxjuedeavNL/TiyEmjw5ihveSdLX8t1KtsYAuiyYMSjlFhIjA66Ye4hnlW7nQ0
xfUCbKqd4ZtDXTe5G+0ij+8pmkXmJspEhOu19NK5zfYdskZccYTtDVfXa9DJDcjm1Kzf3pM+X2Wx
J735nAyzz2/pIDizFeh1x3yFyVDE2dW73cglKe6ev1zQp+MPHzCYH26RlWELqlhWrBRPY9R3nLHY
4/LKpohN3pbOdlXcDH7M+i8mny+2lMMMR2A3Qqett3JueILTukw8Th1HZs3VpICY4owrnIlDZodm
iZrUen4Uccv/SyemTYyRwEhsIHXUZBnopbHPVa/oAuOHgar7Sym93mxpn9EFQlo49vEmcLWY+GMU
jjc/ol8H2B2H2wits+O82kPZXM+17/ALkRjouT5NLmZWtVcU/bgTVWKko9a4NrSE0n5McnDy846Z
WmQiU16jon0IbesQIAUlvMOI4advYzKBFfIum22h7wKljIRbPCBh6u+TZkFam0Rh6cKbMEDOjqmS
bSQJtqi3e8Vth8q+IYMZ2grRCsoZEo4ue3lGQAi9Gsz61h71LcTc62GwlkuoYxHXmFqQgl6lD2Qn
eGkHp+Vm2rRUWfchaWTqtzeU98kab0O8iJZ6TyAm3OxHL0PffZsJmBWGfRTGzMZTNxxz0DjlhBER
JqaE2fBV02v3cxNsFfeclCty+/mmz9c8z64qpOGd6GYE0mQWT4FOFCsRLAEeM5VKzbq0p3VgDaVe
IavsskMmge9Jd556KLGBR6hExZ+ntGsM56ndrDajbnkzLKFLyC1bOfGWWmBKnAUw5RZ+VyLpK3kY
SCCWQtQpRDrOB3sUCz9JCSP53tinJi4xqsISOwE2wkLK0UYkPIHfCXl+GIIQHWCmRewFxx0HFtQM
mRgBHN6+VExAVMZKj2scorJLDNEnPtp38JoTB8IlxxFYhohTvklRBxz2MbZVPIRxnCTLcQWu0iEt
GfeK+KDi3PJvV0xyBfqCqgl8FGTHlluKu77rNxp6MZ9vW0ulXtGeoxr5dx1C1DcPZ4HZh/hZ1RNV
kdPLy8WzmFZp3WNCAU5zBwCxTZGMmFL5IYX6BwKm4/BX+1mBrBGHqFwsnhJSBREbu4SMxuKJC4gE
oCD/WtZNsZjvKR+mu7tFz84kzmFnxAW2gxVzaDFisHnGXtQn/YJQeQ2aBxu4DLPJrR+nAU35JXcA
ozGowZVnSKp+RHRdOyr8gllc3X+wm7V+TJivlKyhXhbyjNcemBpQ4JN4hWUurUugmpZ/nXKlCAC0
opBfCmIu9mlR29Xf/LLW/UPTodTwsuAgu9zqxKptHL5wprgUXrAITABpIgViK6FYDIg+LBDxb3qZ
pyuudg3giyuv5lilPTwiLCB5R1gjdGsssfmGttbji5ytcNxI6XW/KFgRDNLcZCN6S43PietMPk5q
o/KzLQy/aoWGVbsq7aD2cP8YySvIQqeRTJbdGOl60XqXFLW2ETJBLbu7XNkcyEaO1fVi2w6mO0mU
ebuABE0/ZiVNQA6+cIzOA9LxgLr80XW2yiHCKcCM45DsLDhbOHFGkYuORlBnRyi04w6ToEVfphDc
7QtncRC4TQXYxHGDTIlmRJR6gXUnqq7xP06DRHPhwkY+TeAt3dnr+rhidjZeWwPamA++5Q8I47es
6k2ArU3/UUd4Xhv/jzDqxUW8Bug2buw5EuEuWQH8XKTFWK4HPB1Qvt2AevZcmsG9HmRME72M229M
K7p53eGkpOT3pAyYHG2nSHQRk78hGO0LQJYyiHcTELk6vEgbqwpvELixqupiDuHv1Pn3PG69Easm
cNMTyrpOMCod7kNv9Kzspne5mfLu39m3rWrAxw9L1nQdnuZdYQ5UyHeNCD4uKhDC34kUoudMPmVn
5ChqjgKysdRe2DA9Pj2sf0QnSjIoYEqzOVZwADKbW8Ymfew5wNkOuU+nNNw2iMMTSgoLUl96KAGi
ZrW5Mdgfl1pmFikplnIzR08A9pNTZmzBQOgLFUX8zsMUdCZPCYfKVA4YJUGEQQBhburkYpJNEX5G
QaTlUhxhRVVy8T/sncd23Eibpm9lTu9RBz4Qi94k0tI7sUhtcGgkeO9x9f0EqZoSU/OLXbOuTdWh
aBII+5nXACmn1lD1tcMx6bTAe++8VGOUdiA6iYKpnasoWs5jxVmWeMhhjqeIUAZIuFqYqesbEBfu
Yu2lDS+p2cPgsjhTkNSA47oiLgGp4DsOdAsOxDwzuaNH+kSEJoj5dQxQVQh1cyLqNfGkAIMACuBU
vogSCQswWXyvRFCGP6ajO8Jeap2y4fmROFTnZGoLZSppJobkiYqgao3mSTZSxas4t3PamMiNus/j
WBfl1jUTsLBhmQxci10F1M06KSqhQpZI4vspse8r3M743uOoCyFvzIyhB4RrFNQNVqhhAgjHpaxx
GH7O8FmFSG/lHrfN1S314wazjZJxTOEWcqK5clRPb1iBxkBWIfTDEjJrTtKR9RoDyzGTqCfoWy1i
+fw1EkvNFlr1FRV96kNFxF8sczpe9jo1ClrkKwIitRRjnTjgxsmnwHnIGoPa0/s0cmEaxj3pX9/d
oWo+8cYWEDDmqG8HYTRYm6TDGF0tY6IH8nFIkY1A2w8ronw82ISjw90iUCKLVsjTqOIT9Ighjg6V
XqigQsftghB8NNFd6Sih1yyWnHqdMUGI1huBF1dqEqWE8J+4Lgd0Qxo0qquwHbyrpYvMMj5zAwER
Zz8vttoHlgWCs8aIhyDzLmtttUVqpJkpeBUoNrfwfm0VqKHlRnhYG2qBWUFPg25XmwL++zp8v12j
YQi5NHsY2mwoywJlCoW9UfFm56r1iB0oSB2kYEJSbahpBV/w7+qniUqa5WrMoMYq40eey8RHSajQ
MHV7GEJrA38QHuZ9e6Sdw7xkeKMzqU3LwZefwZ0bwq+DN4Zxs3cMpHHY1WDQWabxTEyQbO0GfAGg
iQJ26jnwy3Do1mEGTr+HLQ41haAWACNz28Ph47OKpeEV9GqIVbECFFeC2WNJyhcKGTdPCPPGyFS2
aV91HC7zaFtn9ggdEnkXx2Sd5bqpksCkcsjYdGNSE9LakvCSxJN57mZQ6KfWaJI/uTjZTUjkwdBN
n4bImBiU4D3yaWFpE2u0pdfwtvGE5hz6q+8ZsbcUGL9upzCE7bwpwhoG/RZ6PIXjWdO06QXTo3q5
Qt9B132LDhPpCJ3ZsNX2nltZ/R3kBQsRTG3E3uxKwyZIxeyup6KwZjJUki8g+POPYVWyPgKAqMxa
h2AL4frkobSDwuTgFMQo0imXe0ZdnbiLUZPuHWpRFWOr8geWk+vw8ZT2cAziz1acye6+Es7URRvE
vln6e5BOEalKigjsy/vWKwZU6+iWabnELnAGxNrW624YWrUwoFPxmFqAgDdLEvjBWFzq9gSuhQFZ
VMaNvH/HQI6GUFucbDmszl26vErPZUzCXRAVU3+NrOvS0pmajGzvtSY5BRebZhMfWFM3cHS6WVry
Z6TdYRizS+pCRaIgZDnFkQJ4yxqRpknZpXUyIBJ1TsDfu35L5crMNlD1VRb4nlhkwaIeukSQew59
dtkMzLrzFjJee/ASFjpJks7qH6OiYEqxMFaP3hcTN+EGZxy0zDfwJu30XFQUR/jBZWZFoUahDqyO
acTceIJjGRcrwAjtQmeABnj6ZJWTytDn95NDTq0KdHM4/rzL76tG/4+akUdNEMsPaQrHOC6wokGF
pprMxucp6FSeOURaFjlr5CnrDOUxPMeY0t9/5HFVjTIVIi0Oov3IjAAwMT+WO6HMF57eud2z446q
e/O+NDJPU5Xdf/pRYNAUhkg1jGhNHVVWTTjcy0B14jm2A3U+la5tYZg0cVhzdv3+s96qgT/Xjw1K
x8KwHBNVNvCWx2XKVgelNGap9TxZeU8i00c5AFHf6aAwzH7U5Jgq4p9Vcmj0QKlBemHTVHuZX2HF
h43WkKrOhiTlVWfP+8n8o/dRNKFKEQrhtNwJAvw3X/3+8X+ZFSWZQ2AL8op03NTV93/C/UwIhQGe
FM5TFxsTz8EFpdJCLldSqN9/1C9rzqIwLGkF0QmCaXhc7yaMik0cuasnGXkYRFOD9pIRcItQWwQH
w/HTJXfcQoELiviPCaCJqqmJStDHl2toTnsh9funyo7UGdVNbLYrtELVBWFKdWcFknifYGLm628Z
SjzNJadd7hx+/+7Hw0zX1EH2THVV2W5os3x8krHopmGUofWVmgSp4wzTYH7xCmzgPhPgPR5lkE86
bwsMk0+jOHZUvE4JDAEEJMZXvNtEet5VmUrN44RMbT9Epooaf/9qR6BPoFa0wTyDJi/aPgRNRysI
1vHCYTI3X5uCPlG0aaxAHXMcioh7Y05WZ5OximIU7aQvUlT4P8OuvSkv/bwDCbUs843AKiDPOtbx
yYLcM/rs0AXqSEfkb0Mva4H+X8NdQ7HtLWwZmkiFxqg6qfP7R1FcczpV8spdAJbRYXwfnByjScaI
0v/MLi4BHZItLBAzuBLadCy9du1ZneaNq9hIO05rMTrqshzwskTwGCEfNj4wMnroSgW7p3hkjM00
xoRvlOg2kD9iszvEtJYx9C5TTcVW7dCqsAv3A0EWA7JKXeeo5hLbiNZSV3xVNRWPJd4L9C2hPadm
mpoqaEpgzanr1TRUsBwk4Gup2mCcwPgj9w0R/8QcJrApp1GRUpb9/fz/suCEbdq6i/wtbKtfl3ZP
ZoF52zI/lhFq6M0+rDA6LNdy6VQE8KNk/fuPVLvlw4Rz1GLoRY/GAwsgju2JaJQhVtV646MMUeO2
Nn2MJMY5qEYz1S70VucJMAGVPUnUZEB+owib4UP5WaPo+M2VyTRYLeD0vDaN96PGC/IaxchcRo9p
SfnzJM6bLv9ighhrzsy2+wQge3yC4JfsoGXm2S5aYFALjhY50Nkwjqq2/TrUVbLcO4lQyyJJKhVZ
/X54zaMtzV8HtqecrQWdNwsFmY+nVThOepahn/SlaOFjrgPKl124DSmjkunGCUJNKIqXS87/BAUb
1uWEdNs9yZrTeKuKsi4lGFIe1b8HVZURhxoA4omwYyhbD5HgEHiJSvTvKWtNmioDeJ1bsgkxKlRl
4jSnO3I3aIbFy2mpw10ExVt1iowBU1SyKqNPp/qgaZyj2bYo9dD+hBF/NN6MASJvls4+tYVyETsa
A8cJO4m3w/SlzxN1MwclrQpoDvCgl/vfj7d1tJ7VnMK+R8EAoWzq+sfrGW4RNVXDDu48zMTUZ/UO
pVNggCrU7znqOYLee+8ZIB1GAVyeqpL++KoZelUh0EadwXVsoeqZ5IIVJ52ZtzA4Dlqa9Npy1rJV
4YQiNpmOu9nqSZg2aRGQHgP6VmnJj8Yf3SLVRNKyxGTvLB4OxWh7lrma8AWNf+dBe+uOi/fSxGBQ
Ae3WkPHUTCYGUQsKwAMHP45DDQ7eZEbvLTR2JGs3oefBvRcEVDmQ5TZyDDo+uW+9j9MnhLDp5IOf
hFXDXQjE9uMSrnmDwUP74wWxM/GQNIVjbk3ao3sQbkjFTHhMbkN7kqeoz2XBurKDArOINLsfwhiy
d+GBP5ctIphSm5FccKOu/hKQv7ZXmJ0MkR95g7mPZXKd02p7GSobZ3S30TD2oZfjXsIPK08jgNHn
3EjRQrYeDelaaxPrz4U+8nASNBinrCrwb/aaqiEOZ4vWkRxkUzT6rWyubG6ldGtnmnUOEH1Yd9Vc
b+iJZ/dojdgn6JzSJUgqaN5cIiMtvM7IvoKacE7nKQSZ1y811uRW1Yg7k/v5qYpKw1lBP4goYYRt
i5FpUdyNwkJixEKdB/EbXMdxvnEgNPeyfc20qrnFXqMlLAp63FH7ZEubYK7g9dFcRkxMxtqqx/Tp
JEMEphvlQMEmSpI/e0DmVM0DTHE6tDzvlgRFesJPLaLap9m+7urXdjfrz0gCt18Nsdhfot7p/Why
89NUtPEG55743ZfzPypcfDysWRC0lTnMlESkEog/htPgO5SK2gmLV+ZrukJNpkg3blZ2+Bw2uvvl
9zv644Z+/zABUE5d88RwxxFJAIOVnFwWr64ucjBCk35nFNRXV3meng82GrD+hArJNS1CkX4Sj/2y
8t9eE6wOLRsO8eN8pHdaiUl8k7/i3UziamVVig+QhTrNJ9fE21/6+xp+e0uoXAAPJIxZSx4nkRPA
aXMAK/OKBi57xjK5LpAezo14PUWZuCnwM7mJ20CrVnrmyGptDaiC7IbYcddT1gH7AqznXjZuI08K
UMtfuG8RHqKu2N3nOcGLidJhtTI7w75GjKb4nveWd1ZQnr1GP8OEQ0GeujJKA/sVuCmXVo6D1UoT
uUv1JqUXZ4y4MemNnF+TMkTtsO4b/J0c/Ql9A8tfmL9PYqEjEB5DosIAwiDGxeKOPg4JDE20k+3N
yysSFAx+hLzQziqTbD8t01NhyOzR0uS07jGlyFZwrN29XczYhv1++TnqdPswMxAMVVYHGBDgmHvs
SGCkAZ5zFIxfw57GAeW0JkWxwxESdfJsQUnSzqc9kpLYv8daldPtKXM8lSd5PlTu0EHbD7XLxQjt
vbXMFM6aQH7NY+rpfpNq5/FcCHQLoAtauXVHDTS7LPE4JGKlMTb7SzfRdknKNvBFJcUNYSO2Ysrw
anaT+MIS6AOlVIr3cVhWlzliFd26DNr+ec6i/ovumOm1VnhcEO5kjFvL7EaEyps4vBtRRMXxrtZ5
AaSS5QqiNS0AkdQJjRDuxFvb0bwzJBrsPw2q2qippakzfbLsP8KSmGLGFqlS0n2XbFaYav/9lDH3
lISZdxG81rHtXCCAl9xXsTXP67Qu9AtjJJf45BOPVGXePpLYgBQHBw0geMe8OgOcdINfXPItqTBH
omyG3GXQz9ophcpkSyOi46R3wua1svTsPg6n7iyOpX6NYoG1/f3Scn9dWoSaHJ+mh2ihaxyDAdFQ
c1ovLIpv4USDgby9DL7i6Yrhcp3PkLh1E4G3Pi+Vc5xDrRDVK9fZo0Ydr6mTSAktX4Pp1JSueIi7
bFClX0rohdZG56kbt/vasqYLNAvDQ+iI0IYXJ81x1c4GXjUhfqv9qjG80kdNw6l2GsOyTdJOO4dc
Bi+JUoZ25rbRfAVvjOssceJqG47c3n4Jc/Isp81LRGnlQ7hCoEa5248QLQeanvfOQGpKLNLeduZU
HKI8s5pVI4DLsBJpF/kuVb8rS8YFLVcQdZOSTwy2nYubFEqvojofK9m2UAhQtfMZv9I4AE4Zm53u
huafXVPGDz1Sjt/t2Iwp9QxJ8Fnh69fzBxqRBDQHdA0R2l/qepZJJzSdxvSbhziRUNoIyTMoj5mu
IVOmTJJfl7YPDm6hPc9DMuKFBe8///9YsJ6CIHP1octMbeDjHgEp1ebtIrJvAUJi/fptQhDlirKz
OHO7rb4M8q5uin6LuwEe8TKYHiPU8fAuRfPu7vcr9qhA97Z7MOqktszRoZSGzY8PA0FlHMopTb6F
Qndva9dob0xso9aCwu4p92J/0Wd1d1LZRX7IJss47wrBRSaybrpCnsYDkAyr9CzWeus7yPnaWXl1
nN5+8pS/hAzCBe/qsMXBTJNUHg3ZkAdzLmu7/0bVuw6/EFk4LeZkNq5ZKDRfmO6Q0lNqFxfvtcYp
v0eLLnC+CMxq3FmibO8dmYVnuhjTL2Zj93RIuAW2TdJkDHeYoMdS0+59n+h/eRZ3c/Xtv//r6TVH
SCduSVJeup9ZE1zwSoPuP4ud35Z9F/2f9VNadh/oFj9+8QffQuIgg4s4xksSV/Of+RZATO0/dBW+
kYcCTH4TLPihI2A7f0gg37D8uX9Y2ES6mGF00X//lw1Jg0In9z1wXxeAiftPZARAeH8IIxy46/j8
go/gnJcmePcjUqjUoU0GAYgR2zaGazQHKGTbjXPIM+prAkzOmp1s3iD6htlYaS8bY5jlATY8GK20
HO9mlGTwVcBowKg7b48D6kAKkiQFpqVG4qOEGG3SLrwB4bW30w6AFAI8CAcV92OfXo2m3SGhGXq+
pnzKDDeZ/IDmHOKIBZ1nO8WooIaUd9sVSNJVlSn8xQrzC8yl2jucX5CvEZ29npF8edU1rFU86wvu
AN+tikRLBP31LOfuJildZ0dh3aaAlvT5DaK+/UkJCuh0FhGhEK6+gCOwZsRAuJjO5tEVhzycUBBM
lu7EJjLadm1v+QnEXxdkoq5fNK5mYtRuz8F6mCZOVzHVhDOQ+eY9EBV9o5Nu+pVTO2d64+1J5W4q
3RCAXKVxDkrrFKGUHNkYiWaph4ghNTsEfUF9bju9yn0WDJqbhdGs6pAzIR6BmaWonzFZ+enS2eh1
Opo4yQFq+9zOOTmaoBBmhlOB/CZwSt8BCrpJs+UW7ch6DYP6XnK9fuFqd2HwieGxoE2PCEMt1zpt
lOCiamZT32Qlus3Sr7XI0E+HIrCW26KxUBDaxNRFtZeUSq9YEFWg1rDt3Ra+O0XodvF1p7QH3AC7
GqQMZh83XMLehQyBhW5Gr7amFaI99bjLzbbZ06+adiIvuJtjwxaXU150N5roQELNKEVHFH+W1hpW
XRg7ZyIFkZ3Qt003kNU537pB5lCxezu90GaccLS1lk+0Gnd02ZemOScWj7UoQ1MFpiDQXmtoBVzA
Ac264gSzzc5tHsF2OlDj4CDiiUvnRUuAb3Zlk4zXQZfmu6IuPUG6gcroMG4l6nD4FdtL1XQ3KI+Z
s/tl1Dm0b7VhRhBho8kE0Q3fDPN+MreQg7wJiQtQKI4+nY9xAaRmCxq36H1oMsafpVdN1+NULzRT
QeepsoWRlH6qhXjvAJgPfK1vMQKM50G7j1InTrEXEfm8AgExncN/QUGtkPWrA1GQAnNtBjdFBhbP
5ySpq1WSYs4bOPgDX0B4AvaUV7N+uQyjO2xxchkDv8c1B1RGh6vonBjRviwybRMvwsLh2+vn2yaI
8JO0ID/+mcaZRIu4di1q77a5zsI8vKyjub500SLGq7CqfDcyihG6T4W7it7CJIW/iI5etuzJI6or
t22KezkhdrYStWEDJJ4TJaYqjeYAOjw4RJAQIToLDRxz23Hnhd3krA3N6MDzGYVgypc0x83T6mbK
gxHqq3rb3fSDKK7g/4c75ADQGhmcS5kM4R0A3+kUMSOTWBXG++PbKf/vhfjJhciNQ570n+9DhOXK
5um1/PkSff+dv6iHuon5B9GihPpjoKEJ+e8vSR1d/kHhEHsPAkn4h4Kb96+r0PhD5UR0oFgPNCHM
v+9Cy8VNzeCWhBzh0Af8Z25qb7WMvzNqR6exhJoLrm00jyBaHEe0eh5VYOkX7RQH3hpGhwFDbO4f
mgH58OYEQwSBl3OKYF2U7IgeEcU6w6wsH6FkS3SCOnyjZrvCBUkGXmqdFxq3sTuvtC7Cy4piWdbE
7a5Pk24Kdin8gDg+g9gxcLEt/Cv1t6AmaLZJj9G9gqoe9pwm0RnlcAdliNXoCQ3GiTb6GsjxIj8h
i7R6P0VcEGBzHYAffzSLhuZS6UKmmW+TelGdE0RIRnHtRVMfycs47jZjJ21St9yjo+E7fUG2lPUA
FuYV/lzYkYXwKJHK/3fXFF3czZ/sGpiESq72P2+b87gltGvin7fNj1/6sW889oZK+N5CRLX8f2wa
6fwB+VI1FFR8+Nd20f+gH6bsVlDKBW6oPvxH6Mh2QbOHugU/AIiBwPKfhI7OUUuD0BGABzsSKREK
FqQ1R+lMQ7RW9ygonCzccvWKFFnVlewkMGdkjuzhUQ9zcaE5TnkTV3NxsYwS61Iv15GNk32yMUSs
3yZdusybxpzSy8jruIVdrUC9XjS7ScbWCfbhxiofYoT/HW9CEwA4JL3XIB0F1B0nOh3oQ53pIQjX
VQlZDfpWekUvxdvluox2gQjEzk4zu/MBRCN3jNrsW7v4kIL0OO9b4rdlaSPNB63QNat8RCEWmLL7
ZwwytvcF1tH+JLCxgvKPebZmdnvk0IObsrYx/4u1cTr0+nOaLuWTSDPvfEmtQGG2PNSP7DHcjIM7
bdNgci9H4JPhxkC3SwdEXOoHZb28TxtTexnLpv5OyUxeglH0DsRz+FZOZlCjyloZV/QEe6Ue2NzY
rT2eJClUwNWcJjOON4n5LdFL4iMnoYEM7QHbcSD3FyHwvtO2WrSXwg1VBRV1yQukaIrDHNcPA5cx
Ys7YqKU0Ob5A2upupezQ5MRBp3mGSxI+NCCGpd87ZKcuTtH9Cozbsuq94oA0H/bZph43h8iRCHCZ
JrDTmmpM75v2+Ce0O5ORLrLnDHTkXi7QtQ1MDV8Wvac6APxCW0LnBFx7dQIMbTnFywWzR0e0W4FP
i7luXKRFVvrcmw2TGqYPMpackoxSz1/LtXZrtlZ2Ohsi8BtYgrzoJBOAqkF/ZsSOhpq8Hu3wn87u
ysKO/ky7OEqBiFWWifliWQIHcBJjrQWOTv3WtFJEI1mAh5qk+rxHF6IFPqlbKX2rIdhGSksEFoDe
+mOLokW2WAgmOHIav8eJ2SOfMiHpsyrgOOyqJCquYpeCpF3P4ixEyWgNuhDRnMbLz6tOSxBMs4yZ
7ueIoGZpz2Lm2qjC+0AsJsphfWg/15S1UASsHHcnsoafoiK2X6olFOtB2OEa+VqQc7kjr8NgjgjY
tA3KQkhgzsPabZwLArbhBXmV9KA3be2PCS1Ueos9Xi1IjZwuS+e22wQ61hdZJsEDziyhdhLUYII2
shDGaz3qbQ+zZuxvBoD2AfSH1HjsZBYUPhKy/bXRF/XXZtZNBNhG4yltLJSdh7mbb1o0ZL096s8j
/k2eLPexObckc9Zko4sBImbVB4Z1b4GkPK31yH5GcB/fPQNNulDh3LN9FRbe14TC1jll3Vk/gLOU
d4huAGmd0XdRqrEUFNcgaUscS4r8iRq4/NIgcKPpY7V2q8Y6N3p3/uaQ0NSsCaMs4CgExUMS0gz1
syZBla2gXP7YCZvWM24G1cELyg4/naHPSV4ceabMNdZV11wbLcWvFYFut0G/ssZzvbE3XlYt1G0E
nu0DCfJkVzHGfrLfLGOHiHtpiBNHb1WqGiUe42Anu7LvOdZgxggfTxN9B3MqvjGRON2VsZ5Oa012
gb2xRcMdnkaSHJwTdTB15K+AXMYEHKB8DuGMc0xqB6CyZWl1N40X2wwscjaE6UlNFGAgW8aJFvSH
gFzQQ410rL4O8BOava15VF51GQaQBef20oa09VI6ArGS1kiGq7meWQYhKdsqoTTRYDBuD1sNs6Ov
7jiP32rQa4+zXRjnVhsHOd3A1kNkxoH34cvAqi+jWQZ4JppVTujeDie96CRcWr26DdO2WnupHE9p
BMV+juzK2i3EiV3N1PmLIruWdDzX9GWDQ0I5YFMadr2b9PwuLJx+1za4pigxWnxVkVESwAXmwgdx
625qfVpeoeuRrA8Gdiml1ecbvYwGE7FQL4EuZGRDf2pntVsARGjGKv4T9fGs2M/CLlKUuihgpCTC
jWV0Ha4Ac5tcQoTWVtBr3EsjGYMtBJnmxsXc6cY1RHjFsUjyisjoYQjHe4oKxU1NUHjTG21gwqRK
gvsRkSTMGxr0DpBHGk+Ugce9B0GYQ2pkW3lYv19B6sqvpNDrLYYLULTj1CZfzlu/HDDhSpwGM0bs
oix/yuf4ojdlv609USfoNuf5RSJ1HtdNtS3YxIiBoZfLVkd6amUgGHdWGzw+XpzmOXJTwbJqli64
teH2H5I4He/CXvPqVTQE0TeLyO+y0Ig2d51Wl2ezPgcXEuuMWxhV4hDy4i8QiBY4C42zm7oayWoi
1a+pnUylD1B/2YewAbaJPZuryej6DZDWnqKPw3nUx8ZyiniROETI6vn5mFzhgN2QT5rWZQCO2OaQ
TVFNXYJD6SbmOXI7YYnOso0ykteXVyF2rTs1nncwRYwzNICbPceFAP/baPgED4O1Mc3Ruc7kEr0G
HfLD8aThkd7UU8XnoO+MXI6Yr820GXdylvIwGH173wQlit4GJF32E1E6juoNPqpCAiUf0cCFVT1D
RkxQ9/V7S9bXo4W8H2JEFhI5yAPhGhIjVFxn9mUPlOV8EXI6tFyMSDya4wUSty96GcsXo7XMkqzW
qSF1ZtFXHU9aHKa0is5apKGDO3DUsPwiLmkbFUcfqI7YxkOSXuEfNn5F0ndcp53hPsIZ8C7NuWDn
0R9DQgy+FBBviFkL7ATTLG+LWT6Avww5sSMvqk7rFuIfQH8PEtGQj/IxJry/RfOira9csHLtHkRS
ja4zYGx8URKj1s+gL8bcY9Io9Br/HtSSfS5+Rr40F+oCdbiewOTOWytyxbaSrvBBSLuBn4QjAlXg
7U9BZ7c5usda9OAAMY2fqGsXaB6bMJI2zYj8rUtlhOKHe24Y0zR0uxLQtt6fsGTNJj1B/8zV2qc6
WB6JfSlApFrxkgyTeS+7XtwZdVid1HV8VxeCXo5V5wdRt5Uv+iH34cTeuNnyyAFICyZ6Sjr3UfRj
/2yVLREEhU1UkJz+UUgt2bvCy65wvduMNta9TI658hqcA4q0q79bizMo7mudknnVlocOUh9ne/ja
3TX8OJB8PS5XYJ8aGYZ3QJqaTb6Yy3W0EO8gHj5CRPs3hfr2v0mhSHJ+W4iHwFh8e+nil/5DAf/9
137kUCgYAV6kYwaHz1WlB9KiH2mUsHAXRcYXkRBg6xjLyL+TKQoWoNmBIFKD5wxX6OK/6vD6H9KT
lPWp6gvjn8r50l7+WIfHI5VSP7gCegUoPejHqAKHkiJuO/FAKS5E4hbl3k3ExgNj3j3MbvrsgY5Y
VSW6h0U/IXGZuO1qQsT0xDPSytc7784bvPQEAmeKzmp2Nni4EwjNvTDh43IXagUNTeS98GabcDsv
lq1tIV/GZrIoKtSSvYzbpnSRzyTnvK6oJqzR2IPFhszpxqjFhOkmn/kmdp+AdPF1vdbXaJs8DJm8
Q5K7XNUkGT6h9bNLJRBqOj+eGmizl4NoDtXQPNA14DhxBgs/csQZ80Dcg2i7SSzjeWj4eLgpD1kZ
fwfJYa2mUsT0D8xrHOZbeB68j1vheaY39YNrKKPERnAKarxegbMA12ShrwdNHJrGwzgdgkbQMjSD
DDZhl4NqS9LvgEcn0hmGEhoPrY2aP5oNDIGdhl94BYZB9w45Kfs6aPipQecZQH5pmygA2tND3Non
Nsq7ZRYqayyX76b2NTXTbqN+M7GxyolJbldE8wV+5gxBlVkdGqLGch2WBDpzNmwwT2NOAP6fOnbN
448W3g81D2RVLkYvS/glbeVEYIdIrCyL7zPlaJrm6MY6qLqsOX0QZqYX+IIxisE4yDvAjd3GKjJY
xuhakDfCM7c7zKJA7ZgYr8n2jiA4RUSfsxqU8bKtFh0NWI/Rs1o+dHQEXR3t7m2RxDXuorNdt+tK
sA6M2UIjFgXKRpd3o4fJg5nyn1x3roeYhwqT1D4Q7lAygxyG40w+nQhJVwNzaVZRx89STEAFFReb
ulQWphiYAytwJ4aJhdVnOcIqjnPBev5OwG+twPl7OLzFzyj6MPcLXyUBWdVgaMV67DyUWuDU+XnO
KLUGFiumwIBFr1vpN23z8DbfOfYTKJewrLqR94XvLRWLiqnHinTVu152ohvhdzY5q5qCGsA2Vqcn
WCql2gthjTVEFvEltLlnxBSZ/wnl+qFCpgHV9gN9+rt5YebHmn3CPY0vLJCFc/xZ8KoX7QNeBtTG
BTPs9Swmj934NhhFxabAz3Q5r9L8GXswRDZ1UZ8gOuNs7IBFm6UtnlaFNG7yNsFmsBox8lOuBxa8
zS1xmZLnL/X1m8lXrQ88Qxi1p16LUWnoInlr1cjZvnl7pIJNOY/WWTwmhQpzWGUF35zGIj0nWNfX
BDb62huibIMCQ7bR2Sd6NsTXQ+Qgs68WCBz5vW5g+zLZGLD1pQcuok/KFUiNVmU+6Qnq3QUBu5US
hqttmALfeJtb0BuKHIYHyxCoI4QlUFSo5lojY/O2yhfld0LrRu7a0E5R580wUbRwUIeNTkdDLQC1
wtni1zjBFDtr5hiTA/vb5q7dv01z149Kr4BlNKVmtxkSI3hC8EnbO0rWFy4WiMbe0PaBREUUwMhz
PCtnDCP9jlchAFCL3aOjVoYIZEcbp8DbU2/wjaBCNV04k7PzxuQZjj7VXDFi7Zua6SYT7Ag0ALR9
6LBPywUFYPqJcitcFlmRY7OgtZJPR5mBszdHWYLDwVjoeU32DjIQ7iZQyPAJRs/abi3XpwFmrSGK
4ihnts1hdAH5imLw1lOc63sdJbCNhvidjzs1h9vI1L2xmIPevI4o9+2QmcRmtuMwgfQ5+A5OeD52
sSjHkpus2CLlnqIv/8H+6P1sMqWyH1abdohd9E9D7Y6/HV05DUuicexrc05wyg0IVJ2uVNfOyGIi
st6iEsn8lZm+VsHo2eTa00Uv0u9Uwhkauj7+21i7SEau05w/iT2h3NqFm27sqWvXGiSPVQaTBRCG
FlyZxpKvIVBlOy+ov9eCf84pEbLpcXuJOU9sLYu3RtO8gGF1gBIZOMvX4j4vaZSmWnSljf2FUFBP
a/TCkzmecMfQsDUx1m4/6xsg+wh0FpPmKm05khcny4cVEaDtbqRntATBS5M8m0k5rQ30hpBo1807
DKiyNSSEKjmfETc5gdvLFFo67vKrAA/qfpPoNXIHZdxdRaENwWnlGtjgbiHDDniDpR1tsFk2Lfl8
VBm+W9faSRX0T1pXlq8tZRo71ktawNaUfqdJihU4pwQFSeDB07jviqbcyjxFPAJlLCzbqqRhzyf2
oCGXD3MfZlxwDvV70baZBcXzgia6Jw4F2nj5HlJ/pz2gqUJlqA+H7AxTZAviZ5MZro+PSh1fOAOa
VZvQLAKcCHvCB4QtPoHmqCLwT00VFdcAogOiChjJBQNB3PUzlC6TmrnYZdNjqzTPeDBF35FiwgWq
8O6QUUGHhz6Kb8efcvY+QvgI2tTnguDQlcaX+IXfIGfbhGJf9XtjfDvs2INWnL4WWH6tUCD8/lPJ
/ur9fX6Wxafe/utbUld3TVTmMAM4gqIvY6hh2FL0+2xmgahIQKaBtsEyRV//20f53yQBoFM866dJ
+UX39KzskVF/Kj5gcX781l+NFO8PkDhIXtKEtAV4m7+TAAkUB9aETufxvTXJt350VCzrDx0kn66I
GwC3QHv/3yTA5A8qIB48BJCbSoDvn3RUkEr9sIpo21jom0OxBsgOh/AYdhrPzdiXMU1xKjYCfkei
GTd6VC/nHg2QbVlDAkN9V+jPrSaCO66a5jDnRXCiNTHeRA0C1iITZOq6W+xSmxjDHIwsR9sm1e68
Km/xR8X4ZlPq3HGw+ycszLAASJRE/oS1171t1oSxSmo8RNztvNTtaFoXphjWDcGnj209JZQup+BT
1rl725OJfMKAOtq1jIByTcFWwlQqjb+wZBLln1uCKDhMjTFduUGLRsdMSmJ2nXovnvunJfL5vn37
PC53Cyg1XbRfEHmmkgEEQFwd3uKcKcye4bVgah8wBr//pI98K/igzCjsPAEyCg4lSej/sHdmu5Eb
2dZ+lfMCbHAKDsCP/yLJnDWmpCpJN4RUVSKD8xgcnv58VLtxXOU+ZfT9gQHDhl3JZJIMxt57rW/9
vA4uhFkwZ3Ly4xixrUb1AJV9Ftreg9f3oMzc3s9JGl1+f9BflqXPg2KSoezlZvLg+v180FQ3u7Eo
icganGTG2DSwMemYHIpwmATo/v/8aMLGH8qya/Pq/GUeGPseSpciJepOH4EvlW2x7CanNcbbgQrx
98cyftGtracGk3Gd2ONv/6v8FKM/W/NMl8cmmXKL8VxEA7lpigrppAEAcE6m26EdjKsR1vphyemf
b2XHVv/33+OvvzDFOk53UlEYh7Ko/PwL50bnzlgW0mNDFzAJ4dl2oRNH0aPv1Gw4fn+wv95DaEeR
68ESxWHPJPfng7WNTynZOumxNpbl/rOC7TWe4Dqps+Q4d1Kk7Bdhav7Ncf/dSfJyQ3/hwPt1frX/
ZnE6ytip02M5NopgLK7maA0jCEJJpfv7c/zlWGukkQ56FwkTlxeF5LpG/kl6bzNSReDjy6Ok0Rfi
NUANVOvtfI6pYZ5+f6xf1tvPYzGdX+OTXN0Wn6riPx0rLXpHazXuoWVeRgODgluccmkpI/z9cWgg
/bQ7WM8JyQuVJIvMimP4+ZwGBwqsU00S/LtQaTiNKSdlz6W5iZQlSCqUBSJE5Gd0nds6jbZ6ESd/
43X85d5ZzxWfCAvd2gJDHfDLvaPosgOC7fkOqovD2lCNuYHOEV/D7ShOVeyJsHOs+W/W81+E2WI9
LC4KTpwtIO/QTw/fn35ihSSgWiJXIvGKrK9t6hQnx7LnGyCeCUCouqS406qJPg6WNjeIxmFWFD7l
9N1wchIMa7R+pywqo0MMX/IUMXg6RUuq3f/+Cv2774mgga0BAiDSGZxffp5MWNFIBp12oEvovEMM
s9sAd6PPJcqd0TmUWlq7iPU0191q1Zhd01bB3kMlHR0HsCRnv/ej4yQ968bXnA5YicL8GlaJ76r9
77/rX+9asB4r8QLtLy67X7+q7pcQDOmNHAtfn7MgW7MGg7Lr+u3vj/PXJxGjP5cMlYfH33+Vd0gN
DAEwDXmsKDDufbmOwcsM8yFDG/F30vhflnPuE3bpCK8+UzH+DQnb60RnTynLedVmYexFKtTzegjI
9Mjgva0BM6BazsYwuS8kM8b7qRL93/ywBmaBvzypKK7BKqBQW9vBv9Ikcgz4Jk9GdGBo0M5k9pks
pr0/WfUxJuPyXgMP8v7ZU5ByWFMe6iSNSQDK8EQ79MPOnwHsPmPEO1SqhOV0TVq3AV5/1PpmRscn
T+jsJGCbLiB/og9Fr/aLN+fL9ZJDENj4DRnNbjNlJ7PwxFm1OgtuV4zmRSBdeSD8VD/0AHqukpKs
nVCvpfZIS2K5n+PIGjZ5mahbkhb7tzzCfLlobOM6rSbWw5/K6INUGVGfyqIplk2p6uiwdIaNFsBN
yK2w3HbdI2AspFBuTPst8SPjWzkU1tMIRqrZQCgttKAjWeMjV71NdiasO3y/XppcxxZPNuSTODRa
Jd+HhMW76mLxAYvKM4OyYNsIU1P3EJhKPx52euLY+xGncxeCHeq+ey7tJUhX7gsIsNa7IB7nfuPp
j7NdVvkcHjyCdu+ZHWsn+gT3ZbEjEU6wQ6/d9c9CRuNrzMKytw159LiTZa49Miafr3nP5F8auKG3
nz9v5JBNZpaJfl9bTUKCCC4WYOBG7FgnExXgdRb7ZHQ35LPVW8pMVqsBoEfbo8AIPGPSXssq446E
90cqR54bpHwicEIuIjxJkoyuJ4/2JO2vQwv3ClGwXt5ZmeliVbL5nJFJ6LXT13HYNa58p6eKRSdq
2zne++SYoI7FQ/KQxpb1RE5xa240k9+2ILjrHe2tSROkst/SlQ3HKKsj+CiCRn0vRm3qgz5rpztd
NdOtnG2VhJj/5St2HJYmpthfjFm386213ocFwo6TN6RjHMwIr2RIFjUbGKOoSBBX0KhowPTLdQy5
kV4HpRfi404t94XQYFgRpdyFQ7Kmc9GS8DG9pkxwg44bbKsTofKWjLF+qCaPu1dkNvGkUTJVhyGh
YnBEpT066N25jrE9X8d40E+ZB6EJcXc4AY7Eapg3uz51jUM8LmtubiQCYq5b4lESedS9tjyP8WgH
sshl6Jidfg31dDkNje4w0hTRY9y7sOmG7I2xf3aNAykLsMC7t8Xi7jO5QLVcg0qZ1VsvSLVHeKbF
Xme0h7JgsELacktgUvMFhlO2O3+qSLxtYcjjY7MZQ0p1C5tzPoHd2yVJY+3GIalOGKVQE2kD0h1m
rdjBOa0889oAclQezqpHBdTZEQIT+6V1O+s6LuRtO/V0lJU1hWr27IAXjrUTjXyiOV5sZ1KUzrnI
A31gPgvebNxnfqEH2WIkhAPpQCNr1NTSTy7Y4d792nzDsw9dWSssOMfYHUy8G2QRe8+Ng/p8o6w6
J5vU46021OZrYeE0BLC0Uaa8SRwS4zPbeVQqOlclCrCewCTAjPN0SsAMBzVUtbAqzPnGkZZ13QOl
vDeIHzppih7fsjhXuK9nhKN2kbpgS9dFJO5+NHpWH2ajQkFWRipiqBxb6cmgb2dsIi12rwaR84Wq
3LZ0CCvm8iQW29pNY46IoFemfya2rrllo2Qn4Ug+WYj+LX9C4Bo/DaY+PsyVYP9QdbUXb2pF8HTm
LtYWV5q7w3DifYev3B6n3JmOSbMGc8PEsq7bWL94Yhwv7jjPW2sZhu36/iHNo6qx/qM3LO5Qoi+B
y5NGxLBmsxUwswrB2cxeJKMDXmal04EEdiVLUTluYhvd3sYFDH6oU0qfgfsvLNjm7fxFt/c41Ow6
aGuzuO30/gsw0SY0Rknoe7N4aRDnlQdMBioaJMrULM5aTY5wmWZiFYp0OwfMDEHW8Xi2hinsZYQQ
cBwwTJje6L9a6dQh6ynNbh1XtRotwDY5WQ379o05ovtZQOlhDGDvQImQa/f53LrbYm6fy8oTO73o
1csApvyjtyeMKE5pmI9mIdyv00iPfa8LifxqgBEeVQP7McgUh3pZ/JtJa5x75v2AuivmMeAN3AMV
tE9AoWH2m5rA3R81s5wtA4z51PSADgpbv/ZBI2AC8o0rrFElW5jShXqZ+/d51BDXEqGhpPhPE5s2
RWuAWdfoPvS5f+Ki+g+TGFDVJRFu5BK0zrcJz8G922t0DZoSdA9+iNBzuAWctCQoOYrFHstovnO8
XuFFkfZTNncoS/qO2IPISI9R2phr+JoMMY2CyYuMvRKCGxtAIf5HPSATwbyLm5yMzca1rpj4I2+r
F3IrRWOEhTdW+5y8ml2+dN7b0HNKLDRNoLpRWoGHrURusojEmM9ABcZ9dONjEH5fSn2ybgbdq271
JWLbD4gIDjpZVeV2zrTKhumk8n2ele6LyByaOFUTnydNeFUYRTYB1xA0f/SU41fIvob73tYm2tO1
rzr8VCXvdNsfCS2vlLihYq/3WeG6FABGdcqNmQQr1WNoTYv8rnZEf+t103Swmg6Ik/S9QzEtzCBA
kzN1i7xz1UzRNcHc3p6w7OI9KxvX2Wa133y1Y9HsQJ3T/BeFZLzIoOGoDSW9pDRvv7gkI5NTDUKz
qew88MVi5kEHfvANj1Q6sgh02hGINntZz9D7oElKEdpYtM5GNMtAr9ItV1xus8L8NiKeC+VQ46oV
JFqDWoxn4qeH6t01SkVeXKqFns87sEksqLACeS/j6/7OIFvmPW0z1uwm563BItBm4AKU7TaZeOr1
AT/oN8emVtzodjklH4kG2ruXaKt4sPuSMqnXPhonKa8nUZs3chTDkxZH6t1upfcSDz5SwrKEohxO
+uIxtRAMslzSP8uiPGiOPZ9MM/VjpKeKdE9D3uhZ0TAFUbmxwdxe4fHKjIBdVHyDvcglAJt+v2U2
0VFUOFb5Vv0ESCDVryET5mGejbwzSNtFBJwPg+Owu4QjvjHSZjoY0difDKZhQ9jbZsVyNi/xg4dY
eA4mYQ5HxKu8Rgy6Q9yXuc/q0y3aI7pRfQdzmOvGS2FvwVg61YscvkH4XagwGMmVWsGvgOzwNQK8
mK8dJZ15Z20y/zTb6eDoVvRlFqb1ppm19mE6w3gVwQB/FOWSBkbFx0725D8ZwNnXHO/2NSIxiO2k
juesk09sjKNtHzn6Jsmai2N9iYH3b+aF5TXKI26q4osuSn2je9rFVcS1QbTFe+Z6O3vRnE1b9sSF
ZnqxwexAuxNwBbERLRx2auxNadlV4E/yPcvNpAw06mQm+n3FqzI+mJNmYmgbf/SL5e+p5e2gaU1/
lwGnQq3rnMwOkZ4hFXJ0Mew8dJKBwEERuhG3s55OxnkWxX5YjLel5oMTAr335twQf1TM+Z6Uxglf
MkIsIOXxdVqqDzQS1qZZCgCRSpknSWMXoFkynWQ7kz1CnsPGnBQKy7od9jA7kZn3ABGo8XnrsBE6
2UNlb5kwNrti7LsrvZ/Sq8yY9pkTs5tnwxVQVDvwWabbEScp7PbJOQgQ3oHONJ/ShATVwUt4QVTR
3WR0OmiatN55ffejb7VqW2vVsjcchB1F46P31YpdO9fOGVGUuVli/ZiO3f1gaW/SsXcVQbTsU/yb
suhOhda8jMWCMi469ZXzRI7uNUsuDSMU4WenXT7wP3/BX3NxzXJPEhTj2TR/83U57peMJiXK0XcD
DW2AWmwIfc0QT1UuW5Sd5vvkG2ysyKYOvcQ85g4UaIQ1u3Soz1PijhviS74VipGZWdDV3giNiiAe
h+HrYi3fJiWPTjqYu4YkwjHAHhp/1esuRiDZehlez1pt5nneyEpae2PZkt/xPKmpQ8+WXInmSffU
8Nigl9kmnXzAL5cc3NHPgrZRw7Nmtt52GhUeAWqYq2FotUM7petjPusnYUn3Gcp1uZdwWL2QuI/2
KBuH9uiYruWE6yfTvhoNttByDaddDGe56pXQ2l1STBdMwf53QCCodLU6p6GDF6nz9L2pzNE6917R
dSm5Kmq6y00Q+UFlNln6RhCZQ0AkA/EeKWfPHY19HGEkXU077cFK5wYK0jipNhn7oQOsIFe76Yfe
heWgVSl2glUf4XQjJWfGKLkdzOjFi7Pog3ARHkCOyohBRLib2IpQSBHPDa0Fu0VBfVqxvNBnWmca
czVEL0NMgRBpDTVGZULUlgsRrrzjvsBonq81W1AlS1fbAjd39BsoVFJte5/swAIxMZsI5JdBaazV
iSEn9SNdyIlOndm40g1EBEaMfDDJiG3E7EGTO7Zd42J0ot86AvIA/S6lv1fV6IjrPlFryev3FfxO
UXdfm1Kxdcg1R9+Td9Ee2dvz0RoQBTIvKNBDMcdkkhsu9dXo9K9OXpihbNn+oUivGZgvAZqY8ljW
cQoepcLZiLohkJ0VnaxERASHUOR7g0uPYJ3UfB7vU1k0V05LVAlhxdQJak+wfPH8+b/4XmFedIey
v1pzo/HALQfMCvVbV/TUYFNr0iXwrPF2XNj2aBSbzHqW0nlg9jhfyzYRGx0qxu6zUVznqMZMmLCQ
4REa5YWs9Y2Uib/XfL5ikRAr6Sx9uXeAf3xloM0JSEythF5Py31H4+VOyNx4Lgadq45ymu8M2vvY
Qj66yyb2u6gsCOLMBnK+63nug0nnvMjiix5rQdnXqKQmqHJOG2TGNbX9MORui1IkGrONXOiK0Lxk
MRgMqhO99UP8xKI5ZgRWFdz/JLpe+VVcv9H8k3s9S+koesvZb9vO3CAtIAWXd0cPfipeql2fjaN9
BfJBvxHGKM7kCDEhWwTNq2jJTp/3nUZS7E6laLusZU1Vb3PUm32HbEtNa+7lkNTRB5QaTlejzLrP
h/U3yQembHhY77lW001F7MvJoUkZ2AYCJIQj5b5aW3HYXxagXhHJCjnh1lUlyTqxuQN6W+ezfbV+
YJ46DzBJNciwiDxqQkShSSJmmuBXPRPpSlxDabfHTwlIXfX8WoYzccPCRJ1BTOGsnpfWF2Ezavpz
Ygg7RSmc+XvZcd8nGttrw6XPGn42ngzNjD4Ww6aplHI3WQuHTCeteqOVWFohr3P1BBQFiTUT85PC
ovSG63m6m6OERwc/OBfTGphNjn10imqjesswQR79ZtJwI3Uq19WmzSPjQnHAGZamQ/srirGtBx65
Gnu/lOYVdUv7tffXn7fQ8+w0VPxMqiOPe8zQbnw+sGaXJd8LyINvhChx6GnAS0BQRHTsablidfdQ
By/4RWIiYu7xm2MXa2V2ZvF9h4yF2sGQlB59/a3UPZRCDPP2nWpR9PRcHbjqPOwTTyB0HZ+ORQn2
vkVAFVfOfG3RAr+uC+KJ21HMIlicxTjnsWnclpYTnURu8c17Kh8RliyHex3fKjKelkss1rtgrGnN
iVrQUhC4J4LM66kJR3/gLnEX/X01gr4xitQqwnNrnumqFVFYUZ3uBmJHXnybXyrGj/OIhyP6cKOa
E/b79R5sdeRfLuGrJxkD3WIfMC8HbVUIQkyl7POcRIGEoU4OKDCmZ0zt0+ukPKZQHRtyAip5yeCb
Lk3ejASXXxmdKm+SsR8epT5632tlRx+ymvyTEkk+g9nhzWRDHtjNwp2RG0IjOCq/iV5SZ02w7nD9
RKFb0eAO85rMsX+2n//PZv03hlFC/GiO/+9+0X+xSv6r+vgvLNdD8S5/kjz888//S/aMQxrhAlZP
Ct5V9UyT/1+yZ/cfBuNopsMwTj+d1f+jePDwVa/5lz4w0lUpwVTzD9mzheJhDSHlP4KDNU3+0///
fz8B+rpf/v3PsplVdf3zZIyZNJZwZpo0NR1a7z9PxmajzIxknvQDqVhBEX/kMMkmnvTU88JyBNco
9VOnR1vSjJ8NsodTq/u72dwvkgOGPetsDtEHuFnbJJb7569QCUCGnrd2K3G03QzegzR85nADsEez
0ccw1XSya/LouubNvocVVm5H88VGVbskSBmZoPFqYr/o7Xp6XrVr3DSJA5tWKEyXUGkVm3G9/mZj
riRNCFoG+LrsNUUFu/7jjH8LEuJTt5ApUHSbjjVd+Ae76tGoxhk+Hl2V82bRe2RiWttZdCezIZit
8svssShwNxwmxyPijmhz0zrHw+jSNViAL3ICHjn20tOwAOFDs3oK5i67srXhPsqXepvFdCQxnt07
/othadsudt+Wjm+AE2TjO1bAkJ/sBp9dRLIdKvxZU8H+L7tMWvSYssPdZh22q75+HdiA72U+3MWd
e0Yc/r7EQ4CZN2B3m+8JN/A2Y9+v47LyWzHZ+j4jwBBYyvitxM8YO0N3VXajQKZeB7XTcbBlJzPr
Ni6Yrnw+LP+3rPzNsmJApWGS+L+vK/sfVRv/vJT88Wf+pZ7S/+FBHMSHDnMVPPHqB/9jLfHEPxxU
GCYjPCARLovG/6wlrDj/Wjt0oqJdG8mnQGtDcfyfLB2sOr+uHatVgw/THURDpnDW+eWfRsu+WZXY
Nr38YHnxy0jAMwOKrNqiQ3wGQf/QKu1Q6kPz7BXG8zyOxm5w5x26zFM/u9520RrzaI3FfOxwjq3Z
yOLIazrfswrUoas1ZcAEr/2YI+UwxkWOBRZcv8I6WL/qzPsvGnjKPUDXIbTIpgpqT8odITfTdojd
S6qkdzcCFFo3AGcQ0iOfhmvTIolk22mmGZJT0rIjYTaoilso6oBie1hIaT4d285lnsPMI6zc0Q2M
eRweTUmRGc8TrBTs4BtbM+7HxRL7ro+/OnaBHXvkSXOLPLnudWmcU4vvpOulvMO00W6F5jR3nuVC
Xc2/DNO8GaxpIcgDbF/hqrdqANSpLDWGrV1P75Kw+HM2Mlqw/IVALsyTe9GN+ra1W3c/ljNOaDuf
trllfSeuytrZFIWhzJzVizq8mcSl0QpWp9TPil0hGxbRpcSq1pO0yACefDO3vBRNt+s/qXXabTSn
pOpptK5qyx83k1sZF6YZ+TPVb/0VzcSu8Fd7WV9cMqQxEOa8diAE1c2Y6wz5dVtb8bg1PaVTVzXZ
87BU8j6zElwJHfxpyyK3Y1PHqn1AYxs9IOIUZzvDFrjRCgHOvHca1LG1vGmrfHwG/th9R9jgf5kK
ixiZqhpGtMmud5Uwj9x2I26HZiDt1B0pXcrcygANmkocesurX1yZEnmTuhS1TAhweOTUWNAdjRu7
hOdGVZ9XGVGNdXvlNibbfmkZ/HgMi+nQDICfO7MuT20XRZhIKr08YbAcGrgJJaJoSd9PA4da0D9E
QnyGd0XC4eimry5mYpCrEWx8YcroS2rmFS0/fLpTIasHA1fyjUX1cLYxiV7F05S+1mRlUIqAYYhZ
bRdjV6RQGtGgs+kXCo9DT2Oedoo9bfEKrlZD0O9WP8IOoS6fEQV69lujW/mXWTJsbgfXOmqWNazt
xJ5fdc02bdd+BD8gQevTLNf4KN14VJUoT1PPR7rmsE6xSRW4M2NuTTHgbzmwiefkmzmeLy7OJWoF
Rq0XEoiqM3HYThZYM9eh9nI+0OinpNmCVqFlroo5nPqifkl4/vYS4reLR4odcjQh/dq4CWVeTevx
Zsb38x1Lq9obg1X/IKByuosGSKWf3yyN0trbKUJpibwBEnofLwAipGgFeUpR4t3bE/egrfXFR14k
9qkU5fDYpfYYUELQiZXrifdWMV/mQfRP7lTwP+ZRah6F+me2AJtlhqbwJEY7ff2801KkOYRxxr6i
tTHTGpHT6INu8avbsV6RtwkIhkAsDSpNfzS/jqUmATIXtnuPp9E+0miZLsYElL9te6i68UAsKNMw
Vj3mOie8Jlw1E8/ALh+L/nvvJvKm1CvnFsHsfG4iw7xEeupdxmYN+eSOhDvoi+jVN9tmg5cR5z4T
Uz5IeRzRneFW53GiPZBEqfaLk1YPTdz4+yrv/e3n1SrGonogEaLzgg79DqmkvfKCio0dJglbXBnN
OgvFhANVlH4l5faaxOMS+44Sn79Jz3vxWnsOzKaSQZcuN7AXblQz3zHhfFRNXG2UqF5L6W1iAJSB
712b/XCrj/FdQpAqEXvJgYS4DzH6Z8YqkEo1P0DLepk6a2epZN87y5cYp3QIvMS7AnHBQhcJtjRY
v+sZ+KhZVpee9xibJKsa9kQUOxe7Tp8wyxs3jmINpzcch45bW4Hhlus0er6BrxuOE7GNUXWySje6
M3oNne1kpjuvimdcPNRpe6fKsAPRBNjOOIA2bt20B6Vwu/Re1iS0cozvZTwhQDJ/0Ceqzg023DMT
EQYeZgFx1BTfWqM/lJ64RyWZB5karFuziaMX2qLP5Ex+I6migNjRFTtoCf2mmEu1ZSoMqrWDFgyO
ggK4dpzqYaDrEmDHWr4XSgTmkoACXpJuV/fTQ0lP9eS72d4icZgcu4ULLB1jNzVDtEnHObvKHOPJ
AQSBsYpWzTQXDOdN6zCyCIe6N9RAwDICIvzhVMfMx7Sqemn0wd5MZaVfzZnunlpu/H06O3ooqLp1
o2gCLEMbBBcf1lxfaum5P6TpyoM9Nvqr62jkDGTZY2909DZnjeTAVIHvsBqP7jNqMiTDIPv8yAaf
sCysB5bKD3EKs4PcYt0OFlwTfvTQFN33ZO6ZuZHNfDMlgAG2FrbvHvK5qc8bQsfAOSizvKoM5yZn
zb/ntqIB7UTGHcBkmyIA8F1QkCB/yMqsDu1Ow4VvmPWPDrzxFo8W4uwqo31fvw15ZYaNR+Zkaqhn
ndkXYy3e9r7ZiD2WlG+6rb8wstrrcxM9jUZN19/K1EZYY0Y+idCuW1s8RXNJ0i2P4SaVZfxMZlvH
VMYKe3TNV1gQ4y2bBO87ynJ1Ic7cYMzZrHsI6OVBZzvzic4Nm2xlRh7ZnCp9St0BHWJnFz+6yE1p
+rf5yW8L8BhMJ8NKaWrHO33cZR1/Ni4s2k001Nwore4tm/FTnDTsrCxNbMa69W5qVY+vJYmRr6Np
WDdOz7hFsMPawHNZwpyniJW8l8NqGQelEWWF52/A7sZXauoz49SZkTGBJFwwrfpQBry4YUrVe/GX
3pm0W8doPWhX5tRwESuGsm2sbRWpB1euaG3umBL7TdUwndvYy8hrcBqqGyZOYCZEEW2jRhQ4Qpvo
i9/Inn7TItMtGgYYhAxs6XkjgTyyU8j2hl41WznlUZCPUA23STt9lFjubg1yKZ7GVo6HOnGbryRV
EuXJWhjGiw+HxR3pwsICYR61HLOCXVihlHbSaf4FtWE2hyqC9wpCMA3SaI52SP09vlbe7Gc7f3c7
qqSupWPIpFe/biOUJ7lVtfvGTFQwjFkUsGe4nqp0Z2vaPjZjJ8i95SVt26oOGSiR0DE2bbAYmbGR
4DR2TNphgTFJ2BMYfD3BzN63KGuYu0WITPJO3S24BDaZIhC5cpR3O49N/tCk3XggmFp7sXr/BqNv
92NcwWeNM/c7v3bi3ZBHNAStJmZmImUIOoxHHED+hjSGC2/Q6hZF10CO6zCjNh/FF6ue9tM4IXgC
Jzk7lnszSRPfquel+7k09s6IbCo32i3pOvEPNL97C1bMRpEzt1UyHbYTyaonRm9wedIuOuK3vJJx
c0EAJpi/eemR/NLpHKUeOZYU7ElmbB1rufgZq6txdgecfWqb1muEEDNwIufuCYyBimkOsB42nLAN
K5quZMwrIW50ncmKTjpx4I75PKEdaRjEMDdlQp3GRSYQ5qSK2L3aTDfI8qYUHIsaCEAoHAlLBA0g
+XlJ5qH42DhWVJkH3oZfp8K+13Rf7Wg5DkFsD+MD0B+AqvPS3cSpqHapEvZ1L5bnZrHkdqmdi/Th
3gAh7S+JX8Je9EV6S5qfeO/WPnBqlsu70Rn99Vi42k4a6kcbz+Z2JJYRz4giAtVz7ZM9Uf1sRNLd
+WNuXo2u01zWbueWzAd0Qpr7indgTZsc0rexj+cAuYWNKzliLKBJZxOnTBuypisDpSR81pqZYU1n
EhaITSvew32s9dOq8zovFhtt+trfXXNUMJCK9sYxgNNX9rcEd2tIuL1/YpDilNvUWDf98dz277o9
9t/JjUqvxrHs2Md3QOnB6x3xLT/oavB1rOVq0cJM9dmRzihmrmWx5ytbIgmkRbp8zZl+XHdJ8Y0C
lIQ+Zl/IXcYeh/VcRlUoy+RbUxS89bWm+O4qZ12zyPDbgfBXu9bQ2xe2L87WNK3p0kf+ErAHulgy
FSC5yDXfGGZunXTbb0J3XnjSgHx/Ybg9nJsan+eSKw9N2dznt6sugr6xZyXvZdOBr41SSTaDkfAq
0P3VsU5pWLEPyH3vO20nFg4VC+MiGY19xdFevyxWQQMlqWBTqciyNZZ8F0XJoI/lI9LfaiuMxTsD
LKp2QAinrWcsRzmj7qrh0vOCXrIbSRvoBXgm5kf0KmglyoTJXZqOFTO6ilsoZlOSVh6pJaX0+0dA
ci3UkL5qysWqNuye+wWpgBwBL4GbQbnWNp36SADPMCHs5aFtxvowaeWPbIJ2AUXNpXzsrrIWgFId
I99EDKvu4qSvL1bqL2EG0BADPsgrEVfetiXJPEx9LzrxxZ4o/Ggk+0m109LCY6Krxe0/XQX/1/X5
u64PE07rd12f4/e35Cdip/HPP/FHzwebzYrs5C8D+Z3j2H9CdhruP0zC5/Bq/UIgBFeIe0PXTTLq
/iBe/9EBsg0ay5A8ic8Qgqwr3fqPWkD2L6YG3Ho6zk5MKZS5tmH9arvMjKjBiB85NyKx0RBFjJ7O
UGFYAjXPYGwRb9YAE4tikyZ5/rDIWqArMN0fCW7tB9vNGJYYlfVIexjOjKvJM5hRcDy56aF6rUvH
Y/qyELYSauz5QBTnZgw1KSZP+UkvGyhRpZK5RaKND9qTHXya3rhm4lMyNbm3k11SHoG+W6gIhyYo
ZiMOyyK3QwMZ/C6RBjb+1B/uUVHBHkxBA13lbBevusHs90D7m5Ppt+N3OgavdoGS0fY7/QXeobtH
912/tvifAvY2ztGxujerTcHSTV5CkYEWJzkvWKAOel3ZOy6UdlOmWjQhiVG7BGsBzK7WN+mIBC4T
10KRfo1GfWMCCbjVksT8qubpyqY4Dhm0A5WQiX6Zu7UiGpoyVL3+NRfSf5rENN8SVGXta9P/Ok2e
s1U6EcOWKu7tVGsO9tCaN21RtMeBZgQ6GaCnharGo3ASeY1c6s3vG0qsuqy3AvjFGRS3v88rTb0D
U4qOcyQspqBG/gOpb7tdUs/4AfPSawKva6uDb8ofA5jArT/K6VkYHlLqWKZAw1GDBkhwvVfTHLKt
cNOE36b6WsjiK3BreV02NWzhZFQvUY+hnI1ftbUz6QaiBky9weVPWYFHXBj4hv3iwV0m22EwndTH
9Y58alTn7DwjIgmEDlR2oJPRyE3iuj3fXrkopXj/7nVlOTOTXdCIGycz4oudGdndPHfLbTQmgCAX
u7lKLFOjhNEnwVGsihaZa+9Jq8CgV2iWfIADkF8JGM5XCZuna9IP/pu9M9uO28i27Q8d1Ai0Abxm
n8kkmWxEUXzBoEgJfd8F4uvvBGXXlWVXd85rPdgeHhKJTDSBHXuvNVe6I1Nhukxt0+5wfqi3noh5
MHrC7tdDZtTfyahAbxtNjrkvZDqdKdGSg3LL7tyHZDmulDdFRMmjTs/r2j3EkKCj1TzU8sqk24AY
rZfihkYfsRhtoHOEVZYo6eaPAbjybniyFWrQVWPP1i6zs4Z3BTLYjRXFZIjFlgvJujAAbRSod8ei
YDvf16TlsKGtkFNP6pw0fCjZeDVD+bn7FPFeLFYj7vXvFb27re/nAYZxxh+ta7x78EVXxFelOPpD
4FF2a0yQxnQE/7K2iTxORfCZhhQ5260EJknTswDSS4PCFV9HDPkLXtt7yyBKoRAskPdizvGAilEE
sI2enoPKsS9GFsoNSjJS5CEdROsyw29STRDN1z595pPvZfAFi9CIt4Ap9UW6kAd0w5vZ81S5wQph
HTsgY/e5cOFF5NPw5MZudUcCcDxDL2F6JYMoQddrg3wsEHfAEeMreRXV18rKA6Ig5NTgABvnLdSc
lPIqnMGu+/rTCDubFJPG3MUuYX0xEJlV2zvhdeyX7cWDe4dCs31MyK6/D+zh0Ja2vkUdTEdKwSIc
eKzpLFvqiH2K4n7yqktaWMbWRIkKDaj254esy+vrohvR/QKCfEmEiWzJY/M+TO109OckDo8lnr0H
9ExwH9ky2KoW19SdbKGr6S5ymvY8E16zZvEUNx28wzVtvhjrR2KzKMCZj+xJHHVjvtNr925qBxip
ZY7WsegGDw58V6wVAVqoLcJo31phvAmTGnNLPYer2bL7BzZZ87dCwBvXhpwPc0pBLeeG5ndr0kVi
BxIj0HOzvRwUKtGQhVxYur9KcB18KnPh7Jq6jNaeP3rXQpWANdECHYMonjYhWOcvdiXiw1yjTDZU
HtDs7meDfonrfeElqA8MTI1v6CuNlZpie42+fviehkZ1g2qpuu8IHUEiDz+yasRrpItoC1os31jV
SHDC2KFgrsMm/mLpqD+3RX7f0RU9xYFXru22ra+sPOovumQXMClfX4QJDbYDZkte3BDqrRN57b5w
2ElSoaIdy3zYejJ2vkVLZ2eS6g1+GXoD1kzErdkUr1vPNc6xQR+kqt3pM4RUOAuIVO49BOO0Jyvv
C+I/ng3bqzfa9bHtJpm6LuPBYMGKCCJxE+cFlQtgHAkrwgzLcq9FZb5OReTQZ9Wf2D6Ea2uarYM7
emQgCIiqDwkhw5saDSz+tPxeC/OIKVIg0bBN9MICDBzaEDfYyGS8m+os+mwot1gTy9CtZsIiLilq
cuJ7mmh6EpHXYKto5CkCHIXDKguDA+smJqRenDtp2PdaD5eBiLFVk4ucXOY2W7vce49g7zEK0nDg
kUj2gHQA0OgoPgYIRzO6x+yV24qZqA3a1ykjH2igN+yIYsi3HQjJtfDDMxj9bF95HSxNWqO0hESy
merCOfJAxTvyj5J91GOAtdggbpUfFufIbVm+p3B6jRNBctEovCs9dvLNlHn+te1q48bt2rvOLtwH
7UP6nh2YHUHYsPGxAVf1ht4jEcN75MrxU1fEw8n1itdUp/0xTmW0a7Kk2o9sRA+EfsEfVUbUnRL2
cQx2Iue+i8rqohvsGD5vrnGVpndmVFtfjKmczjA6SU+itTt+NpPEOOR6dM9FnaQnK3F3lZ02a2yj
dB+cJwCK6KD9It8iDQrxNIz5Y+BH9X7o/ea29ntzrbra3okm/OYzJECPGsd7+lvsueg8HDoCNM+x
40xXtZtFz2NA5JvsiM6tdd5soMDr77gqHmMSINAtp/IhC/kIPWG7az4f/oPUvh5ZVeHami/kgRhM
AJz4Nq2rcz4Z87Xy1HkOTedT3mQMSAib3DpGO+7RvAW7RGXhSzvMao8Jq31hl8IWNiDFtxqt8Sin
dNjlXvcywV9mHFGYZEeNq2zZNeZD/GoMLlOLGS+K9FN9CgKo6HjNr1R/JSsE4iunKvBs5FVEPqSo
1rGQ+adFJ/hAUZVdlY3Pq9412RAh6AZAWlW9uQ9kVN/kkbMrPLve+0q015NNdFWpIADEqVNgh7Oi
M2Itlh0rHQ4Ru0Y6dVPqXWho4VxxkGkqf2g3c5q6TN+mlw51AZrRloQstvf6tmYKtM7c1sTP1pY7
15/U6+Cjy0ToqylSss5zV1keNeiNmX9s3EqrN7KC6xcPYZGgzH0toiDc8EG+F0PR7FL6FNV6Lg20
m53w4UNmoI50mwEqarIiXZlOVl7XymIeg29oO40F0mLDiaBwttaGadfEKw15LlL9ZXyTpbfUvWjq
Rb6bLE/vRFjzBp1C86RZB+hzUm0i6hOH0DbEd2j97qqHlrYaesYaMO2hZ5O/u6L0aLddnt25Eto2
HaaZ1k/YLaM/Kz2CAh9eKhStKLqxVMhyqDFbzF3GSG3oAFsYHXq5nB50Axv8mTjpBVuGLBMNoriT
GKMtvMhRSspbb76pWuZQVNE9CBgNTH8yaxeWOi/NB1+FQxpuwtGPqzfMoCPTT0JrguJRKhxfzgnD
B6q0XoFBfpzmkbNW9e8oCwE/lFTKq7QFCYFsIzcl9GuiQjdukGRyM8cRGZ19iDqXtDL1rfbq+H3C
Lb+iRnCf+ZnqxYjg0s7WWB9pJKp2ZY6+2ojOT07D6DfXTc3frjqv+mLz5NnZ3O44onGdBTQwBlpE
+wQlWUXWmirf21CY14jF/CPgMM0TzGbuRg7eo4aHtmqYer07eY29SEtdX4VuMG2ZBLT37UL2wtDd
Ml2qizsxxfHGsyukYgTcDgcnx9nGajBvqPos1JyUMNbUFasoSrKD1+bOVuaudSXKzjm1oqUEcAVp
BTnMEdebwa5Jg+PhHqs+qWR0PkOPgwDXkWwr6bMb1qpBQQjddErvJ9sH2IRG8MvkhrdR6nNaRR6o
B4Zo0WZM4Qqve1Bd13MdWeu0B+/XElnMrNWF3IlKsfZvfd7CDMGZbRzTzqRG7moyFhQRO4+Rn/df
ekpP9kzdeDOXuCkKV3c7kIvNdVjEKSLafoGCW0V8Y4TjBLe8VOPWG2pxJOukeQjDgkhDBEApFoHA
PWZEotz3EZTlqDGbJ/Cv5rNZ+w1+LFjg5NGdHaBv6JBK+GK2Vde45wI6QsMormDU1g+kI3YlLqC6
lNekRDh3Zdy8St0y3Km1QnOEGlev/Unw2k90BKxe5KF3m+Vz/jkVjLF80MZ7H0EUBlA0t3u2Qv0n
GjjT+5LJvK4tB4B8EdUbPlG5S0nGqTBnlgjlvd6lp9+01DoNRuZNGLvTV03VR8VvAC8D1DtfGgjJ
6KOCPLlvo4BKrNFMEkek99vON8ytJXVwZJIOGUDr9OzGCPMLoDA3ucvOQSqPm0kYX3O/0p9Aa4Uu
ZC2PL8dQqNoKN5s/ZywVSH/HCTtqKvWtMQNbz/EG7XtrzO/LpU6yNfdVqxm1mI2ITqFFhnJN5Ytl
Gzh5mYYmoU7mMvorl0LWdNuza1NcJ6XAg8R13gZzM8mY2y4tmueqB/B3a2ZpZ8M489iMNcApsS1W
Xeyvh9ij3Y3w09PvBrOa6WJ+YGZjRnFJORrz575UtXrUk8Hgl1wQNrz9ZRCdLRGDDdKSNSQ6XOBX
nJLW93dVhJRsbXdmxZzmfwpn7GKHceKNjtQ+NGTzmOeFevqp/fMXRJwPvdtPwK4lQg9FnA9aheaK
6ZIv9gdZTd2Ap8htc7oBXuXCJV9iuayRK1IcDVR5YfRiFfZ+TK2Tnbk7w2l3bmxufYlAbtDbDvcQ
XxUnM1rkJvkXDv1F0vOnz+ZZwkR55gWwrP/42QqoFaUIwSvXdXsja2rF8ICD8p+fgb86CIqihQaF
OFD+egLctAdaQ9DxTWKhkOcfD+9gKavdx2H+25L8ly1JElV/uiJ/AnnBk/iDoNV0Pn7gt45kIP5m
uhKFPQI0yaX7PQvF+xvFF0uAJU3IUX/I0rP/tmjEmHTYEFj4Oe6a3/uRKNJwjDL49T50rlzrX9Sr
/0zN6ti/SNIQxuJCtj0YXgEUJdum9fqzJG0u+n4sZeKfRFOoKyPtalitFoJJ0r/fi3KEoQ6hXCJz
cKNolc1hdmPbRfuFGDfUmqHsjItJgmW0iut5vDh2Hz5l2gqdqyZR6i3u6Wwdqwa255ooMdtYNzRB
doMZBttQ5RLjXT/dDYihWINxH8KZSP38fRxn9zw2g/+EBT9tVzoni4Lhm2nNrO2UNnhHj3HASsyW
Id+msd3QrCoDF8lHYXvvKETyb6WABJ/nGu68Gj/3SePcA7jDhzuAkfje27q4jYzxOqOExq9XJikI
brt5dcJo/KyY464tjEjfUQfVDNrwizarVklspwiqNmq2u0vqRgqIOrQotorO/F0WhnFXlSm1uRwx
RY7YF46eU7PpiTrfTFZTZTtnK06zlK6ixhhHjy3GexeVhxxw2BY5QfwFci06CtsvsABIertEUdAH
ns04vh1cfJDVUEWHZMqjPSNc/4RMGQNOpWp7owsIZ0UcaXRPJUnXuMJiEv8q0xqgS9GRpJXrVMH7
bAr6o3DLJN28JWrAC9p+bYVZcxrCDIJlh4trZVUV09qGLPqWkcqKfDxsJiKo/RtnrgKEg6Mc7kdZ
NIdojqtDZojua2yEfo99ocirtaO9+qHJF1un9A2sXYqTE+QoO4y6zG8JQmGL7Uc6vU08jFbriP3j
cz4gZPAGp/evGD/xEov1rLBwRzI40ewP+03ELBQYcdnesu1v14kC/LuiH8AebVK0AQm37099WixB
zbGKLn5ff+/4LcNB9LpJ8LXZ1fcJSKaDshGjywpAa/9GYKAHapWtx1M4qPQ42mWz1cGc2kda6uNr
Dajo4k0E3ld16e4CwybSIbXhKJhVQOWmEpBhuu+i9Al4QKjGO234CbNgE7llv5fmmNxPkFYvtBdn
M3/n6lrAIOKiTTi3ipATAzekbucKlZwni/AmWmIOC7OiXHBwuk/u5NHSIg4x8jkGogCCH/WDs0Qm
Th/piSAHxvIQluaiWSF0pOQJhSRtydPcE77YFRkG/RQm3oyxol4iGuUS1kioWLXtBAGOTW+Gu3QJ
dSTW0EJNQNBjG9kFxl3zyuoJgawEkUWqcu55Cx3ySbhnvURGzoLwSLXESHpqSZQclKKzMi5Bk6Xf
cgc6ZSMIVapmb9N1hFLiwmDPy4wYYkxbbJN0lkdbBdN5WAItpyXakgb7QGp7oZsrj0iAEzvM4h7t
PYCIpCIaE588s42gu9MxD2ZGfibzy08meZpe7mfvPsCRTep5JPAkafdoDFZ+k09KkkaJSD1RrvnQ
fiR1+ktoZ7DEd4qPIE/6uciECPccl5jPccgubHqfAocA0AjMHqwZ+5CSDeotIaHFEhcaIsdYpx8Z
ogo9xKHVHq2aJWLUSAkbRWUQb8QSQCqXKFIrX0JJrdS692oQtixP4IMdwkvpzRZ4/gL2C5HTDdek
FIlto1K6BtTtn+3ccZ5lAS0tztocHGgcn+TQy0cp3eGqnrxcsUh1rCmSJCmKNzc03oRWFXyPLNK3
IuPpRYKTXvTI2pixfThU2nEOAzmQZwycgdpGXaQAF2l08KUo1lPnYlhKsuamGNAmyrbwr7LWehUe
DQYaWCOZGkB53AACI11YBGw2J+VuyuNsG2rA3rRYcs62Zac8qL4RBG9JMvMS8e0RcUaiekWqlFGe
E+b8t2nnU8YLEOtjmek9tk+xFX69AGjkAJzWL54bwjEvcR9BcIm4/M8pEynLHWhQZaq8Ncch2cx5
JB6ZNuTfu9npv0iy4hc0UXkHPzvazlTUu5y2/vWoe8jnwulQ3WUGwxbfyll042R4SBybznnc2a92
xy1tQ6Q4K6spr32z7hggu+Zt17nZ+iNVpCOY+yEyi8XOYOCQR3/dn0UQjufOpdATsZuux7TL2Ev6
LJl5dEuSRXpIULHSvR+kj5QFszYhOdEGxZqFj7CP9QmOVLwrsrSgoMvDTzF9iXhV1G73Mn+EdGtj
TM7WmHUHBEgNygJTfS36ISO+p9aP9mhbdG5T2aJrSPpoRdjEJ5qT1lkzgjmTj7TEjHsi5X5r4nvX
G8wH5moWadxpjcobiPga5Uz8uW7qDuWYpy5xVy2g4GW1542uXuOMXpgdL6BrKJFqSy+Qfa3laFTE
Q39y2/6u/8ilieih9v2zaLwAmcnswa8Wz/NHmg19/jb57LjWIrXsK2/gTZQtATj6IwunpKe5HUwG
BbM9kpVTL7E54DC8bbhE6aDjYQmOmQLj4VvCdqJ4HvYT+TuTUs2ewJgIWTvhPFzKfDMsgT32Et3j
kuEzREa9aZZYn//Wx/8O6NaCPEZd+4+NGjffxtf3P1TIv/3I32f2sGxRbdqB8H83dv1WJWPo+Lsx
gyBpkmRsKRfeKk4wk2L2t7LYdvkj4HKLB9wCNgkt7z8oi4Gb/rJtIxZpOYxFeRxQoP+6o4qByowl
Zem1DDuq1Mlxj7NtGqTzaPjhc1w0zUbV1ckzg8akxGrGLRkI3XZCHrwfrK45u6EYrGc3RttSyZzh
dqNG21lb7FZhmVIvPtmjMz6T3NtuUDBRodWzpaDE+zyddZ/2GxoK5bhHZGzeD3ZXfSnHcLzFPRsq
VtNyGlaZbgk2biDT7JLCYaDbpsV6aJHWrhhB9Xsv4COu4L1B24uiCq+tMaOUd+ZZertY+VN0CBxT
DyDJUvE1HRhjrPI5y94bzCTwotyxWE1ToW7DEDDaCrEu353GGWPLlGxjeazm1sFFjdO63nezxZ/a
HWLGE7wI2imx28zHyCh5aeGsV8bJ5wOi5g+1UaB6LAr7zvLr6i5w0uieqIvxlnJxVadE3G+muGAa
HnbVojhv5YHBTNmsU6fSFL+8OS4EVWX0HB1oVPU1qLJPpAwAP2L3EgqcaIfQdJNhX4RWZMu9T7Bw
tGO5EVpsVFq0qFIzbNI3ttRFaa57QouPzo+mRf3RwUjZlZVltk3w1+fqc1fnTmffj8hmSUTzTHxq
bhLips6aEeXudpn0B2SdRG2xqxlORrhV2HXB2zBA5N6G5mzsxpAe78Ssp7eJwmiGUfbnThggz9Dv
ebI6CIgFIZ7gOA83qP3H5caR+oC03NU7Q6U4N6B6TDl2oH6gTXdjzkXa2+2q7bpxIpg5m+hWms9R
GFuW/kKc81y27z3reQHuINM6D+/+u+D9OwseyfMWsqJ/vOBdkYzw2v2cj/rbj/zeEnD+5uJjJTaH
eHo4XMtK9vuCJz4SfCz29wTrOJhM///6x1L4+3q35AgjeqFfaHtsZ1E5/SfrnfOLpZQ2AFAo4ldN
z7V9LLK/uFrBEPh5GinvqrDwg68tHHMYiMyJamA9gGPsGxQ6RFRB3ymW6PWqnElsb11BhMpG97yG
H3KmyPBOu86jIbg1tGqd8OCHvMLXgz3SZJUNFs6bLHaYru6Kdiyc6aYXWYINbrYk2yH06IxMdj14
Du88Ok33lhHRhWKT0EzTMuTaWRK8cqbauOKgNQJ7mx8MX2vzrKHsIWdkaEoGGAVgqvckfOJ+K5WZ
u+u0E6RSyo8Asbzxh+aCtCgjGywMvgC5sJk9s8swqSrGtL6CoBeH24poMsP2nIpDzJ7eqo/wslpK
gszsJdMMcbh/mzWl96WRJJ4ZS/YZXX9KbLeXu2rAjM90j2FS+hGYVn2Ep/UVOWqZLvIj62384nWk
rFkfgWvmkr1WEcKWq/nGF20KSzLD7Me/wutx8Oxb8pfFAR6sue1TMt0UKSj8nSXpbYCZMK3FR/7b
RxQcXQdi4egVUAN+hMVNS25caejiMphD96SgpR+tdgZesyTNBZ01n9gJNPBBE3bqq5AK9RDnafLO
/eDesTgTWjdWlnHLBNTfK9drGZmCXqA7VD7GS+KdXrLv2FPI9UgznwaA31vXeIqtz8ZHaJ7XkJ9X
OQscB24EyhHAXuOStZfTnB9BZJFNYVrlsDWWKMQJ6dfOnmx9yD9C++Ylv8+YC2A/QDL3dPH10Ykt
/SaWxL+Y0eKDFqQAosysztVHNCB8pflWDdobTSaRo9NbHnvt3/7bZzRO4mvDXQYVJGd8JGU3ZFkv
udnQdabyVITdlFcb+SNa22qNe6YAjCcYcuKu0Fuypkzx9t8V9d9aUfH7s+b84xX1+jUpv/1hQf3x
E78tqB7roe0xp8BI5BFwFtAx/W1BJUeNCQFE54+S0V86sL8HT8u/Oa4PK1jS+/RRDLPU/t5mtYlR
W9ZnSPQBTGESFP6D9ZVD/DwEgNWNYQV9KW1hyklW61+arAHFAMocQgjC7Rxs3fmabc5PZ+MvhiB/
PgRvAdf1IVDxkQlj+OMhwmlY+FKECyHApjD0yVRGBeNxSv9+zv8XR1k+xU8GZvo2SrkxR5HlS2e8
VOpb767/b4f4ZZgjk8qB/schBn0nxd2cbBr99Z8fYuEj/DSTcUjFgwdh8+5luyCkXBAPP30LZVb9
3AdWe+j7xtzLKWZqGUk7vMktAsY0ZTidHxoiVVu0P0Yof8BJ/IyP+EX++9uhyTYgcQU4/XLP/3zo
wHWUGVl2e6Cam7e17bI9Tw0idiXMhmYFnMtdzTEmr3/+jX95vf84rIO8ebkVmTlwo/98WLsjqE8m
HFY2aX5CPPuJJg4hqJ6mbSTT+T+9hssJhksBC38pYuxfTnDUNsLkpcnhut59bKxmL8NQbRtavv9i
vPZrqMKPbxbQ5YaGD99D/HpCtf7tWnp6mN66GTsWQ4rhnT2CWhmEKQFYBpDl+Vq8xiR3H3r0kT+k
+v/woi7P1p/uJ+gi0nNsQiu8X3gcGf4CDTwYp7GMnDt3gOpcR37zL47ypyeck8olNE2+K8vcr3Ec
DhDrwSnM9jBnEUKbdJGBBbOiP0zc2j+/Xf7qCzm4YBhYuTBGliXz59slwysyzvnUHlCNowecqhfP
r17+b8f45TlPXF7Hzcg9AnX1WiMVdPzix/bkH16Xv7w5uP9MksS4PeSfbo4g9afWwthdwxe6jgZh
nUAwzGs9TslzbGAdx6sqbmlSjRv8+IJQbVv9i8uGYvnPTx8qIYcHD9qEs1y/P57OJec4jUYMs65R
tm+V9MS0TQQRenD49MENs/yeUg7aUz6AFOsEacWdrbY0pM39rMZpn9Rt+2TFOEIRRnTppu3lneWi
l9vgVUcmh1sRmiFBW3avxh0J8OFDIixocUsi2eO8oH9lKtOrzhvBgVf1S+Hjv/P9bptX5ngY0nZN
GzcWkPNMb5MZMr5GZD2vsmaoVh7mcACIA/gykcsr4Wvvi1EwPFjF7hyTYGh48KZyzqoA5Bwb7njV
R8XAc6j6fKOHbDgPQaE/JeBUNnEdo2aRzZtnFZJsBByavtGMm46N+N6xurOTWf0nVc7O3cTWYW/A
2N1WGAXAsi0W6cF0dihJ2Y2o2rz2IZJukdIpTBNqvLdlzy+BX3GWOp23lfateTXOnXkdhhSSFTDT
dVQN8V2YjtNb0Bfz3ahtJFZeyGhAEsG3NxL9bSIc+DmuSZ7Z0HbQnzzoe/Zm0ua3tlVGzg7e6b8b
jaPiNT66/glFP9JthXn0bhwFv2g5waTOXFdgRTEyY++nn+p6tE7C/sykj0izxEG8F9KMZBCHSgjE
bC/XQ54aN2nkfOs71qhp7of3VKtPjra+BQw3vyiLjrwzGAldI4ZUOG85JW3MO6ycnG8LwS9YxdiW
DmkjcNzmNRfBDXX/NAh+X6H4HKmS2akI3O4pWd46CIrkVeEPLFjFFG5ttHh7DIZLFx9hWlTyXARt
3SJ+g9pY0VVgEIjvnPD0Odz6hN0DDswJr3OBjB+AP3IASxPV1qT9fir87JC66fiQVXp46OlIw8YM
UG9nfkL4dTQzrctD4mCJvgIPUg3bEd7RrR9wOhHqg5go2traWBRqN/2E8PyYWh79lZzif6WaxAxp
dkFvc4YwIkwgEQ9pibURU1ni3kKvSPdxFIm96bTh15BRKvNWywhvrCmAiZ3FUg4rxyyBcgAmvp1j
BIDgG7w1A2rnNNdtc24MCYyx0OPRw0V6CQ3b2Hd1bF8kttozPUFkTw08NxnT11HuKKDFN551bFrA
QcOgGCmwuw2/9iQmrIJ6qvqVbQzGvgJf/91JM/87ON5+3RkdKfN0O7/GgTC30dA4wIyQCm2Nrg/g
VwfL+QgZ4WxMrd7zpuNMdqMibjciWwE35XzAl2yd8yhyHmEd6m04E3nKwVxz78uy3buTMz37Vji+
lKEb34miEYeR2YK3cQaF2gplM2BpqMxvZsb8FF9lcQNvZXptcZlcl0MU3CpUfI9AC2n+dR1ITNVA
JJksGn32CMgyqlv/kiZt+TrH7nTXzrO6qDTubxQy87Op5HzNRNO9yjAf7s3Gxcs/995DPdv+Buee
PkAE9AmAFBYHaBhZx1iawv6uBUBSrrQIMzzenuduyCup6KVNgrRsry9WcV7FDw379ndXe93BHFmE
8HJ0e24Nlx5q4O7que725FtHxaark25DCetsB+E0V/nk6SUMsYkfNYS6aIVsmN/phrGH2Y+2gwWs
98SnjR4ts9KnGX/6FazzeZ27YUJD0iuRkLlFGhx9tie7iqErCQZRcHSxYO3wOsKkFZGxb+MsYSbr
IeFbQzUGyxks+Z1z2x5/UDDjhoTykHnYVoZD2G4txIDrMew5DwrZK2HCvrqUedt8pZ/Xs4yN2R0e
VQDdKe6lnlXgBYGYRjEs5aG30vEbfQq9s7CIX30wHqcKBA1RjdD8YA6ZX3tZLu1eWIPfu2AAiNIp
wiZMAaBzQUJapeciJnBQ0ioiHFbalQu1kwS2zofDTXAzRBDuYVJ5597fOGaEzvXjkGQVQIL1OliC
w2zBGrTzBQSc9d1njGrEdrqMvVdOC74rYfR//YEftbrIuodiDarPiaunMSmKfR8M5R6EQ7hNtCko
k5ehZAN2WagFTlgNr9Dg+qMvPbBi0YAalbhgAu6nJf98bsebAEg2dM2YoWILIe3ay9R4bRpoGFfQ
/dWhgkVOgHpt2sfWsmm7C38sTsgfYBeinIaTBNObirGs+cBCefqA2tV7MFUnnvslWSJxFpLsR/yc
W/slWwkP9IuuBw7LBCo8KY3v12wHAqVlYzzWiUcElaG49L5N16qSYFuH3I7fPwiW2ULXLHBBXIXI
CoAqIvoEkYEEHt+ev2fr2x7t2siepiAJ9mXZeA9B4xlb12kDmO2QUKMP3u3ysusCiO1GCvt18tAJ
2iaoxyroSM4OmefZ7ey8Aq7It2XNDe6FTnbS3NFrQqeY5jqi/IZtfDhanegeuwzuCDdSdPFiI7rt
0yGAswF23nMIu0vautyTyew99+x++9WAth/JO3ycH6RKKzTUpe8zjSRCjN9Ggjs/FbIOIc72qblZ
EoZ/XKesV+H3WfBhlWNPO+HU5g38VuJdGfhdgEtAQs8t2kOuSr6UQ+ffBdWodoYY3M/2MDufyeN2
PqduPd/wpmLA0cTGZsY2sIGFCvOYIca1joz2vqKFtbVaOnhGZtPCX856Dy+G9Bffv7UysRNlWfHi
69Ir3BHmqqloZ5WDxpvEjbhTboWiFeb7tgxwORRzb2/rpsBg0AqHh1gG82mA+3kb+mZ0JKIEE/7H
vazxPd8FhuNTV/g4z/1E3ciuXMYHMlovOo9mBacyuyWhtTh6kLCfgzAc931IdbvyE16GQjtcfk3A
YtZBSABJE6yjKbBRe88wSF1tLhhVIlqyWd2wKMxHC3fZrWy1RsrrDljmunp+EmQRudhD0NJo5rQ7
aWbBOUfvshoymd7aWWzsBhtYrzMUMI8nrS6mnOAgt7XCzd/x6pZxibClqUCpKl3IbEO/NUxWvhkH
W95N4zFoUUysQqcD2N8jP1+XsqweB5KzdgMLDjUQAPsr07F6zN3gRdqBON8oBjg7gxM5NWTe7Ign
RHyOY8J47IRAuIJJhIrZQS6Wj1CLRdTxaKJKBcHzkSXnjw2E8nqEmmqW+ZMADb0taki6dpCYXz/C
WxwwXoiFJvF1DnyAryqpiHt2lowjUi62CeRHPHfkE7WZlCdvcuat388t6hvE63R+R4J9isAbgbeN
JA+t4JnoO+GBb4cwkcM4CPmfRwc7ELQUSLTnoTeQifBXL6kNPXJV6SY8gORx9omwNeDIEGcfwtPl
G93KWIFpDNz4xtSJBT0iKR4slQGa8IlY0HVs7Hu3wntru7P1Mpezj5unbB4Y+iMCzhLjCsL/Zahn
uUK/DuIjNb75Df1o0ymf7QF0f57O4ZmvkW1yUbFyulHX7ny/nbYkxFv7MIRzX1KXMKhzW+KsGiG3
VIgxYH1cT30M9wp2KkHYXvEmS+MNRvGtooW9s9RULHVbw8xdwtfRyeNUxXrd+kZ0YLXCimOMa5Ow
gk1E7gjcfv/ZKFEk0c2uMHACOtkwk0RlaANIF35PJohbO6RW13zfsnYdqipaHKzYRBrUqHfLOAIk
BD/MS3KMU5U9DvSz0/glGmCbZbT+IcYNqNrxp1UPNTme4LEigWKisOKrOPXqC0O++tmIYKbxVi++
MOogPGCU3oM0W0dtcr/OjsM4axxHQbZ38ng4AOtwCTKIGufi+K2+pBjdHmqUMtsR5jfGUtUSDK09
b6skpuWwxWgEsC/djU1G/0/kySlKzRlqVt98DVpdXCG6tuFQ527QbqYK0yFd7kFl2VVXfqW8N78o
r/SvzWDoxbq1cGiOTco8w4Lydgn1XB37GWIbFBH4dMxFN1aB5xAiiPH/yDuP5ciRrEu/StvsUQYt
zGY2gRCIoEpqZm5gTAXhkA6Np58PrKruZDB+srN2Y7PoMuuuzkRAOa7fe853gMkTzi2Z8IbWVzM2
6wFw0jxdmVqbXhfkY287Ilw/25L6ajVqsX45uV77WWSxc0DoXjyGk7NwNpBuPqjLF9LW8goPshsH
Y1F0Z3Himhdx3rSPRWtYAZqY4YBQtD/D8iS+tWZKNEqscXPLrg0/9U6Vf88bZIdYXM1nDL+lzitS
OQeNbvy5bGl+2eSbAmfuC5O9bsNIYFJa894onHxDHokGd7vv48tSmX6I3nGf9NIpAJPNLgPubF4s
4ZBqgKqtqPFmABIxhrRVp4wMsybJSpZmaZBWfbaqgC5ye/naHiZ2FfASjXk1aO46aqp53ST5Hend
T2PB4CtilV/RJYbv6sHZF1r1KI3UWAsbDvVKNZ26W1tUxrvSs/O7UuTleTtn+l5KEieo53PyXCCT
isrtMEY0g5IHbJds5QfwjQX5gfpL62z3AdBHgQqgc3fsYgY4p0l4D725PeejmH2iVEyfR80o79Na
1E9VV43OrlIsoPpJWCdi15cWlgMhKGkAvRXXMGyHwn9hKgtpo4fv5JAeer37EQ0umQP0ks9Hzy3O
DCrbb0Wl2j5QDLJAFXE5l32GncRQsl0riIWBYl+eC2BJMXFvVXtJ6kh0mVIMrVIzSxvcz1ZNQJFN
npZE28b7/x0NGVJAvmneCp8A4rCwxZtWNt0nodJkMKMsfhhlY/DhYqClFXl4jT+v/Goo1RcTvs0X
UpxuZ6QU5taBE71G8aDt0npmZa8Uw+dVy24ZsQ6tT56VvLHUDDduaBM7FHfqdu4RQRC/ZAaKW5q7
mMHhuS5snD74RZgX5R5701SPvoLMbgAiqiXkKiUC4DQ6d2x1+J6QqPZlsbWsq8h7NEecgSpIpB1/
C2CssW5vzcT87oB1BMHXTqTwhjjJxeACFzGm9MLz5mGHu5srhm5tV0cppifF46IYofPo9LF5l/R4
y9Mu4YWVXrwaCmqqKba9raVYu9aI9U/sQR5YkMXVWM32oa5tsieH1t5UWRE+l56Y/UwObqDURnpp
jyHBIxZWZFhpVLcjo0WYWUNxU8xNRIWrXOd53u5bd8qvw0SxPzm1CgwutfVLzMjGTy1CyVimYMVk
l+A8QWB7VVhjfJ5ZAvQEEfNYkacZDfXnFCtyGItml7PcbvoKG9zcjup1GHY2ylAmamUryt3UG9lt
y4qLJhRaguf16k5m3V3UwV8aHdU+GFE57dpBfgEW5AQpnkwfrPp4YCFVAsw1/TmlnHMYTPTUTVQL
6t+y+Nm18F7WWVt9NQgr/Ny4bUdqCcIN8bVU01QFCdCFZ+4Qpmu6JQMPW6PfdboyTj7uEMu7TDKJ
q6osahxeBjAqa1sX48zWLJbeZTHJ7K7IvWKVW5O3i5MlfZQW1h2xbT/GEeaEykzRl7UBDnUevjno
ZOCs6znucYtNEl1NFHng/vPE0xY1dQA9lbw4BqlIOO2HnAQg3wyRcVMVZmvaHd8aPSF5gvklwnC+
r7Bfg260nx22IGMKyEmq19RQC6OTNpHSudo308uGM7O0jI1dw79RBYroKNSC3lPCn7FtWJ+YzevX
zej9rEdTeYh49e4hQ8p4bTUl3Acih8I1snSAoli4d6o3dhs9gZTBCL5fuYQofmBSedsFJXAcJRXp
44wGdOeo4WuPmY7NxqWpbNK/6xWacQnqnzyvd+zH8w8GA6e65arjQSZnKgAF5qjn6oD5oE5y6JaX
dMvVhn8kuQMANqqy9fud7FOHQkHmeK6lWxZL3+v2rtrYOEpHGvND7EZ3Y4p/PUp77UJt0Xa/f6hT
4yNgL7g1EDlwxKNriJ0QVp3BoQpZdOciaxdbIuObkIcXfdaY79B2/pNpDvQ7cOMuakzv+KAInRBf
lEnz5+ABkx1faUnLjj3pR5OUIzfKyzSHF5ohlcOQAyHI60spWPznqlJkkE8xLu4sBFWo1NDShE5H
M6P98al6GfFkc3zRZYx43r++pwYfumEwLMZdw0D46KmZIrOKVRE1gZszHKDoopFRD/fvH+TtiwAB
yKKraZiqt3DkX5+kaVUYYUoP44SGlLstW9tHFlufZ0oKkbLyig+ez7cnxfHA5uM+s3TNOZ7G1VQ6
7lQZdZDDFD4z7enaiTXng7f77UtgMEO3MDrZ4DJx4rw+KS+C3SVFVgcIjju/qcA+EEuIP5z24vuX
78SROAncfqatWYZ5vI5gzE/maXLLYJHosY40Z8bk3FUyfXj/OCduk+aYOPe4VyxYLySnX6bE0CGE
4Ul0eXMCRjp7VtwM52WxZLYc3j+S/vaxN14d6uixZ9toL+GPZdD1Hr00CPOrfHBaEraB9G3qvpjv
J/wBO4uWpEQbSMNNRbv02aaK3LSz3m5SBjI7ZKcNPXODnlRukhljuWl1aI0RztQQzxdhRmkGwsRA
vU8Dl1Kn3WQ6StMD5Ofxcig7mkpTZ2c+O19wbyAwPzjRhb11NCnlpaLVDm3L0jCeHU1rsTsohld0
XNMmbh+9vEDE2Ls3+FKT53zukGZnGGbJZPksx0WxKSa2MSO0KKJFE4thiVZXgjyy+xy0h9/asFrK
/KYa3AtgwTPIBQGrXAy0ABKcU6FMQTxG6N1XsscIo6RK549maQaMm4Z12xLzy3HSNbtq51yYaBlS
0Bag8sp47UWDPzvRuDY5Q7jGka5Qys2N+tVZsmHefwJOPGsMdzUUHEyx+Qov6/4vz1qY9zV6hInr
kmIE6jXP2HPXRyiwKGZJMTaG4P0DLk/U65E1bBkHdSHiQxWP8tHrWpNU1AMGAUfltuaeFki+qSPZ
ngN7aHehC/AlphtyZxJ8fPb+kU+8viyw8KYIziau+vj1hfbYK3FnFwQQT9NTjyPgS00L9g5Jd/rj
/UOdOElmrqxGbD/4z/FqzqiCEnDqiiDvJY1KMiHBcS22G9Iq5d5uRALpmZnXtBp0+mjvH/zEeaK0
wFmpvig8j9PrIXB07ASLIoCrnOxqSIjRuIQxp9NfpMD/ccz99khkHPA+OSiMcIYea9XZljURTqQs
0F33cZqKYa27wExlZhi//ZgiQEAwhTCKguBN5Hy1AIAiQgEY9cGXn216IUZ6NQyWDY3d/v67F9BU
DU5Mh5PHYOf4swVbvSrMrOa0rNwIlGoqStr6tFkb8PXNBx/+ty8gB0PsgFjAYsZ0/PmqGdfGdpdz
Zop5FxvKIwm338kJuIsG+wNVwtsajkNRKdqcGp8X6+jVw5mYQChhNkqy8cagfeGVVrZysh7cZEEg
aKZ/VFWdPqKHOAVtKC/d8ecFMahLprkIaq0/CK96LiftzlhATfj/MxD++vnv3zqkOIui2OPTefyO
Ww1KpDZ0RKB03QEeSmCaApun+sFh3hY2Js5/qjXDdag+jmt82L1jkvBXBzhtl0z5wtxXI1/E90/m
7SrCUTTs2KzMeNuOiY2joo94KTURSINNJpsvYqm6n05hX6d1y4zLnYH7lx+skouc/GiB5qhU+Y4F
dpLV8uhLibOOEMGY+t6z8IYMGUB9v6gEUGSPwdlcMFdqJhTJOBJNEfugKSo60aqza8c62meMdrYY
Tu/myapvCAkR66iqKA6WsgC2iXWGUsW+9/TBJkqisT749SdvzOJcpz9P7OjxjWFKGGc0G7OAhhHY
3MlLD8pI6+H9G3Nq3SMyd9nlebrzpuTMzZrPSFRmQdE6GWS0PlCFduc67UdVy6lb4dnUtqxDuPKP
boXlZEZR1QULES5rZsthvB9tddy+fzanViBk/OyM0d+z/1iu6S8lwJyq+hh1imCeTygm5uplTt0R
y9dkX4n8+/0qmg2WBaiAG41r6nin5baJ3aOBEGzqwu/LtZOJfZ3L8PH9szr18uBRsB0kuWwMjh/j
scF2Ppe8PFliuZ/EpNH1Dq3v9D/LrYws99uQVSlkTbv54FN1as178UWwlzux6aGboWIO7EUQRfpV
WyiEMEbbKn2o0vmWF/GDo5164Nn26DzsaM3e7FszztGxST8PqggAW04O2fWgE+z8/sXExPZ2UeAi
OjqfI2wfxxJAr9PHzqILFrjdoD4AOIU/jOIYYDORAbTLneE+1dzS78oWMxWJF5dW5hi72EVmNU+V
zawHh6dWA18j4pERadelH22htZNXHobv8mYaFvXP6wdZwrUCoZ/ztRlNOndt/ay1C5XLcJt94riP
+OsrEK4xfcXCSB7E0Df70Cu/xAxZYQYQ4DwArENXCml/UuDLxJzH+xfyxHVkzEQJ6jiGt9SHr39i
5vAbkpFyeyjm79WstVu1Qt8UZoyUp+f3j3Xicmgvsj9r6Z1Qdb8+lq5NpFy5LaV9qH1XkSCuc0t9
bqasCGBkLx5cu/2gwjjx0mkaTXQqGr5Yb0rsXoKAl1HJ6aXWU5xEiq8zSKe1KIlHIuD5vpZDvWZA
2ge/f67wl71F40iBeLxSmjhIEuk2ZcBe7ZIgNUmjKLumQQYeREQPk2tFv1+3ccClDaBr7H7NozvJ
u0KOtFmXgaJGtT9pPYPCwmivh9rLg9xmI/3+GZ745nA8aiiDDxvF4vJk/bJK56E04wQIZzD2Ec1E
Uw5rtS7rtYFI7Z8ciihEw7UpGF8YML8eqnLMpM0LtmiaVxafrAwcuXRa+yzpNO2D5evUM2rwQi0+
hKX5dvSM9qhUipnOQNDk3V0Xlz8sC1JTw/0js+Da7TBo//5lxOyr6xbAaCrEo9umjbS/9WYughm4
6Ep1hhsJKLBaoojeP9CJhRmRvWoZBlp0bBzL/fzlflUzgb9qyBYQsu5jNI47d67v3j/EYsg7LtVe
HePomQCYJVITVnCAxlYjGjEBEWw11o3eEaoYZgOg5EgFsjXIat3YaXRf4mhlfs/4pHOhfw5ah0Cp
SBi+ELm4UQxN2wzkNweJ0coDkIb4WvdgwhQTcTNhpRa7vEEvwe528lGmka9mudgWCJz4ZGlyMecy
UbuZvRz9Q6E1YlvmjdypPWY3NlBjdJUCHt2iB4OWIxJ5FY9OvMMsN+0zC9VUb8T5RQ+bMnCFd5eU
ovG5wmKb0yuSqxjtToBeCHPZQCBj2MUW+j0xnMNCTPyB6Ivt+5f31LNp4sbWeE5w1h6vn3bdwCOw
eTZR7j3XY/sMV/XKNJStkZfkcpMP8P7xTr3h1NwUewj6sYgcvQtWPBW1AaI2IM5y6TldDrrYD23x
QfH6tuVHYhuNfBp/9Ahs7+gw5ihibJIexBZVXFdVIpHxuN9qcc9c6IIZsd9Z+pdIFh9smY55T3TY
l+PSpeWKsrk+Lsi8Kq/zarDoiZTT/BSDbVmRWaVcoz1Xsw1jbPY49RI+04q+XmcFuh2lK1jIa0ik
FsJbKx2UvaF2ylZrzcIP0WrxwFU7RhAMlbz0q6X1bNRH1DnCmaM1lEGb3oszryONHDthNr47WzBb
2tQUBBOT8Jvye9ZtVv1Ahq19AgA17yqCYbY4uvjf89ny46ZNN47i6A+1YX10K07dcRuHquMB4eKG
LLfqlzUiURsrLwTwHLV9nvAOraaBuE+t7T94sk6tRb8c57gw6qseLpJHRKxrZapf0G/wc2JK3398
T5U2tuGwW9Vx4OAhfn0yaq1XZW3KIsCG4vrTknqs6o+liJG5NtMHprOTB6NfyZ4FN/KbsteWLEYF
LnMkMXbOTnTe9Wa1RZSFvLFNPrh8pxYC4hmWqE4se2+K32yaSMBB2BDIVF7rjWP7cHcfy0z+aBPG
iLH9wZXUTj0XyxiKDSxTPed4TjNj+uf6UqelYxZjvNC1gztDFtfpxa9LQ4kDs6oJja884yZRQ0Dc
ETrjqExgxUSu2MJon+4dVPoopsOI2KL37/TJn8eCSBuJ/i2Gttd3ehjDRhExZc5QVz8ML3qI9f42
Mxjt/oPjOOT2UVHai4vl9XEaKJBxhUQmYCda0c1pn4tJGdZlJz/4kJ4qW2lOMUdVl384R++hMXiI
qpFDBS0y7rhBdTYU17K0DiQoXOEuv8sz74NGxakH+JdDHhes6WxmyGbUPFCGcRd15Q/PzNCb2gdZ
fsRoNE49v+xIGZJRPrIXPtoXweE0q3l0cpYZffrSxtXPIfFAdGUQhmnfRr5SKYmfsyJvknqR/yra
IpaS6HC8vnnEBR0/hiSyBZ2OiBijCdL/uJW3YODKtVtkmY9h2d2OzuA+uBarJkS8Bg2D0ozrWSyt
zVL/qQ4w9J3SBV6ifkmh5jIdrzYtJV/i9gOhe6Q4dfmk31boIPnYE/L6/tN06ip4i1OXFgfP7bEl
KwPLC7ytovKr5v3czmRqqeajVVln9Eyh9E3DBwc8dYsXswSza4dm6/Flr4gYmWqKoSCpPeBSVSer
Ldw3QKvgTEKwvMhEf/sU+a4vbmMPW8yb3aVnTy74KiMLhBctUWyTDaKeCm1Ky+YxldocoAr6+v4x
Xxycrwc6cG+4oqBxmJ2/6RdGygRc3c3ywM5nz4+Hzr41Yw1KszFZZ3GZESOq5y40LQRUL6phN26z
h7yb202LsmenDLAIP7j02okmJj5Fuj7Lqg1cUn+9dESjNVdhzxvdzCHqMgOcOBoxY9uEsoEwbhsr
nhTETFa28SIZE1DQCMTQprZ+/+osNKLjEn3xhWPQhMLJoO3oh6iYJW1y/IiCKlKD0cgiNU6MbL5G
7kjgLbfL2bcpAkFcD7C3M5rImpIzRwXg0H8ajEHdTlOoPsUmhbfezuoTZXEBgJhHChMDeL3RI0Gj
i39AKABYr/Yb007jDfI9cy2Vog1iu3Y2Y9w5azc600th3BLyM17x2uILIaRwfozdzjtkqvNZXWD5
71+AU+fPBAwPurNM6I8bR7TbyCgg3zVwMjHexihFiGAfk8dEU+Lt7x8KLSRaA9zofDaOChCGTnWd
L58lD+DFuqrdxWAzVuLgxVn0+P6xXu7b8VO/dH8Ndq98Bo+3/4RmZ92QJ2wOeit0Vy0DY/wXMxky
gNr7deFk2plWquGndgTBq+tKdK0vqaqmkVW7qlDln1X9bxFyL5JvsmzKn+3/Xv7Yt7KaZEJs2As+
4D//7a5ECpq/+38h3vzymSDL4//Tq78W2utfv26h0r76L5sX8MJ190NONz8aFPV/EwyW/+d/+y//
9eO/wTcYzMx4p/6NEnhDyH34IRl2tr8CHP76M38BHKA0mKwQns3Ij+2QZbCW/A1wMP4wafCoy9tr
wzawOdLfBAewX1S6FKAOL/afeN2/CQ76H1RFcDnNhYrALOW3CA7LU/vLg0bjwFrICvxCDmJiNn+9
krnQBeekdK0A0yyWzjgGhh9hNfjlmnz68+/7lQ7wpgKinOMcXzAReLzVo7ZI2PUwUsooxJHLxotv
vIdjawzJDG7JpEYhYuyzuRZyXc5t9fn9Yy/369dTxLeOIsMGiOBx2YCfHZ0ik8BsNITrBRERzgJa
VjOs+1HjuJYqblJNL5+RxFbeqikSY93MU/JjpBxHfC9tY53xXUNrnyY7QpOJHagVaLKijLGLIRb1
wV5bYLZktWmiaL7oGie8ydFPr//BSSDaQVblMbRDSfb6PqmEwRt5O3tBPY/6Bq3HvM0V2smJM0z3
taH2fqjh1ydYmAQJTR2rz4NH2rZF0DG/L/HGT3ahE//duO5K7SHpel48b3G7ZXu0OGJLkaTd5UnX
bkHqt6Q75QQYvn8Ob9Zq7gNfqqUrhujoTf+8MY2um3CG0/6pSLdXybIaezntHCCn7x/pTWm0HIkK
xTKpSS2KpNcXyyKdNK80jtTjfQ8m0Pi71nbrg2yN+lq1CKt6/3hHL9HLE8a8CUIfj/jbHYuuNUWR
K+Rk9VEir1lRIFdiLf2gxXHi+qGHgFxAk5aZzLHGyJMsF0SuQGLVh2RHduTPCvNPIBr37v3TeRF2
/rIoLOeDDgJtHS8eiszjRSGN6FkNPIOBTt7dfnYafQMbJdlNEzduyg3UfagKGkaTrbiZess9Z0cp
MBVq4U3cFfNZTp8Vq+xiGrR7Co9KgyO76jX8e1FWhYcyK6ZdwrN530cO3AJjVgmWifBjYaCMOMhY
mfqGkWICCNRuHnGzJsH7J/ln0/7VWTIeBKFAs4ptC1mIS0X/S3sk1EMI2bMcmSYY2iqPCKByorDZ
K7WktSgancDY8ueYSWVtiUyueHjTIMtpBPZa1W4F7ILLSiRYJdrCWNc4Zh81Qg0uLW8yvzhMih6t
2t5A0dZvNY+59UoOGSQuO8zudFV4W3wcdIEIjyBUgUDZIkqmHdowLe2jLyxnKGBby7qKOt3C0lyW
Z3xdyFGvQp10bDsJFEwbCLMTMuJ16oLGKN07GVqYyYnuXBdaHZPEFIXfYj48ft6IaM82rb+qMo1k
s352zPPcrbNdHy6VKlRgXI/I2+3OLjOfAA3I17IUDy1RsxkzYvjjk3JledX0fSIzb0U2SLuJRGvs
rBBXA+Ej8A9mUdlrxZlhhcSGeociKX90olj8rIBeY49XsZn4noyLEGQ4bpiyiMcnxy3E2smh1lie
Bz1sAg1Mlpt9RcQEFmo3KbyVkSfDVdcW9dcizaxntW42yuilYHbFD0Uo7oVSZApq+CTaKI48wAvn
V9tavRG6tx97pbgswyokHaoY2lUksRghqtgRvUHoUkggSsbkjvmnsmpKutpabny2YntYQUJQ95HI
83MzrKZ7JRMt2OpcnS/pbBPuNfWxvlH5vvhpPhg7HUP7vptN41ni1/iUcp2KPVZdz8dZaNwJc1vE
FU9EjxSwqw3juaxluRWxrqyNagRuXOqFvC+mBpcBRhluDWl9pAtHwTB12zgGKxnm3Ya1rd+3GPJW
kzIS7CJj/TsgiXwtba26RuN/keCF95UBJ1wfZd0a+PnS3247X6rqgaRkJhORaa7gx0cYXqMLNhFf
YqAHQdy26k2ozdMmlfbj1IpnnVyo9YBj1FdS23toqUa3hpTaObHSw6GwhLcqewwGuQotvFsS2doe
Y5WDRYslqht8LS9S30xLGPxu5O1EMxb+pLjhZ6WKJ37MGG5jmqd+LBavnFTrnoerH0htnFuxTSLX
BpU8LNnWka3vZNMoZxaZ4+etQu64HK3pOR0a9bpjSEwu2ITWhaS5tAK2q3KHtEarz6ZJM/dxMWaB
ZgCag1dNzjURJUAmvBr0A/6AATx27MRE/rUxOkk1Lb7J3oyeSCXpvtv4Qp+MXg6H3HX7vYCFTBxQ
hbFLhXlXt8SBA0Xt9x1RgVf4w4iGoakXGSs1dRptT6yvMxMLWKP1zNUoX40wBO/NXi22iH/iPbrs
akOKlemnU0cOltElO43BwHkyllh41JzUJtKAzxcIBFl6sMgPXqWKNUbxaafYCGbqhjEG7I/pZ9/K
obxUpyhbM1DpAcKQGylLXcAUZJecRHw5NEKbV7raVRu1h9XCGcuDY0NGH5ixrPVYnc7Ilm8eZ28w
r2DkqJdTomIFEyG61JXK/oPoPeaDXgZUigws+S12xmhrl4nzECdtcV6wa75TVOqLrKziK8Ek3A8R
APO9ADJnYzvj10HoQKZFD3Azqra4IZGrfkpTQ6wF1pN1olAXKlY17YC0G/vBrMUWu1L3UAJR3NeJ
1XyfSdUJstRk7ZGcZF1RftlZGR5mj4RAmqrVpRFjkHUayZdrMBzNxz0i1mm5OHbQzW5mIBZXxI4N
a6sz9E2N4HhDxzS6mrFxN+SQzfwZ3cuaxwgdH0wOg18iiMDe9T0CqVCxyRlqQa1GfitSgku92LrS
WBj8uWiSXdXqc6CmyI49B/4NtYoFvdr2VtSR8tDbPK+aEU8/qYH7h6SXrOtkZR9SdGUZUzRT32nw
LHZhoVhnrSyVm4kDxGuFxLTVHDo1PxskxZcBNyvR1nbc3qgOkQ4hAs0bqer1mm6M9sQk6KwRMEMc
sp92DRiTJSxUNc6sUd21NYsCNn6D4Vhtbqu4Hve50JfmXRqTQxfGm7Lo7rRQ0f2hpfNticHaOIn6
SYaFR1RbHPU7WfVTvOPyO+KbxAITn8smr3ueZqtdtWNB9Hybw/CRhi5Dou9yq2JlnQDvFq5uxpfj
oI/5/A82rP/FVvS/29P+P7Rh1RmiUsj8zxvWyx/Dvw4/ZPNj+nXP+tcf+3vPavzBDNt2GBDQ78OP
Qyn6957V+gPdHnW8Th/W0HT+zd9bVo0AF/ZXLj6zRX+yNEj+hrq6fzCCoifKv1HNRcHxO9BBVNVH
Ozq2QIjt4cwxtAI8ddzd1msYB0ZnycDrlcTwCbloN1NUkvkXh711NuIh6G8jC+d7qZI4Co2zaK/j
SunzncCgLHzJNxjCygKVgEpiEBsscZtXIxilKDSTa/rS6s4ROAoir4buQwjjZSS02FiTVBjejXph
PdlF/5xpIPv5q+6YQVu3OAPn60Z6d2XFkDBD1WiuSjtjKUHjTA4MeJSLDroOk0k6/zdkwhmrtmrV
J4/3014pSqLfFMUgDo3s202Zu4lvV/zBF9AFXeDxMueLsNYUWAjhTL87bxTvZ4MpUgXRDNVm1eez
3Ec9IGjeMFE9G73Wbsj+8/zZRHz3cqHEXLvL0vCV+5/4itLwpwf0JXtLyNndIUdE1JTCyJiZ/vsO
GCmKEGtoABYVFSAFO/dy77FP55pg3sxVsf61rLwVHA6EQnOQw7MHRtfIfa8g85s1l64+idegbZPW
Y5Je0qiMW09ai6QAA+0AZ4DZl9vla72KlM9dZ1i3LlEnOYkphnaO8IYld7A0WC4ic1yKmk57IrWB
3YUYVf62LI/HK7fKlJ8znUv4sThZRDzG35WsGS8rNPS7l9/XLL+KJxthfMo/9zqE1oLKlt4nW6EC
NoeEzMIuFayJW83bBC4sEWlgYYq5p4vstIl+HrmYmnEAt3zXzm2yceMgzDQxB3bTSmMbW45Idsa8
VDMpRPBVoZQwSMxy30tIrSscnt22TSL9qVKw+G21agJBxaMCGLLNeRYw5h/SDkIKR0980qOtZGOi
pr0lNCR7kHhqbuNKTk91FTfnbmF4d+ncu9uY1dVe1wQBUpV10VlYm/Ej82sDFA6dcqXiZrt2irNZ
tFbi9yUnmc4QZKxZp+NrqZ65ElbdDivba0kzTav581wM085dYChZphs/BxsDP7b/PC/5cs0jgG8d
r/TWS9U2BjdS8ndh/KwoBWwqKpqRPXeYJOjSSTdtJJqbMPemi2QeiKksRYK1Vg0vcjtPRr9HJbBD
T6dtZRYbD1nnIjd0R6VcCTv2MjJuE4KDhKY2t21pPlk4zM/p3zxCD5pSf+prHNxpNyvzphfZRR5B
B/Mb5n7bxJ1DH5VV5Xd4SQ9RyC5+laBPuYIbXn5q7Dm/bsAhoyqe8k/k7GrEKLDl0ADUbHK6ScFM
cbShRzsfkP4KWBT6YPhDZhn3I209IEkTGLpQ8lUeRuD1ZG/wYuhFwkM1hGK7tLg2etkCeVDDdPa7
oQHzWxnNRWd46dXoGkSVKoP1qbUifdPHPYwt1WlUMsPJjUohG3kmCJMaI+0wqs5TPyvJRahp0bdJ
pildznIvJ279XHliDYiJfUuqEW64IuSHbZDKn3lmP8VLr6RyLIKozOvb2mPzsxl6Ld50cW8kK0Xg
xaKaVsl1r2PKgQqFDrXeg2Jb006vHQo1Y1IgfUnYXMqmmGZg8UClTCrGotkYXWFpvMrWoFH9Duq6
t+3pbKBbfR2Pc/Pocf7GHkQ+fDfsOYsdf44kuUwpO5XJJsgJh7mgA1mg6COhsOv8OXZKzXeKSvoy
0+M724mIUWQ/jlFK5ulZ36Zi8ntJ7LsKQI1wTZSqPnFx4y5WCcLFU/Fczmq9kcmk78uwdi7LqVPu
hCCrb9WBHVzyz1ODQ+C49mdm4J+kK8TBKXp3XQ4s5rrdsyo1dhd+fllZatGGP70xF4esXBhGGtic
P9+iitrydqRd8iDhw8EaUFlWexKnWTUmvjCytIvdGLE8ExKlm7wOg34DupoDUX+P60Jv+CUZxLGL
QR3gscSD4hWXfO2ny0bCpFqX9EY3Dd2VC+lCKHupAX6rv///Z7nEXPHdcqmEzvGv9bMoW/Sxf84M
9t//z//SGf/xB//G3tt/WOhZ6cxym2nTvsLeEwGCgoSCahkbYXn4T8Xkke2BDIN/reKXoYH474rJ
tMA+AwT5N8D5tzD45ovE4D+9LkaDeEkYjyH2wO2Bxnrpkf/S66IxXzX26JCUw0AhmndY/6c2XJdE
KuZTcwGKxNtUOQEVbE6stF4xkpg/K3D02AAlWtD0lXJOaAXUklrJtwyeS2iQc3NBHmkQS6M7uDVb
djPz7LOyK5TbumgqMASRctYmrrYijN2+7d1qvE/BsBSrrkyVnVbV5SpvyLq2G4ht/H3aVq/rpFh5
sJ5BYuBY5HeP4DijgK3ahW0QcMtCzMtRh9fDXF+NDRhzruPKpN8b1HA2QEO7glA/+6CZJAJ3wlvH
Uf29s8D+d/DP/byXqS+NYroIZUTGWEtwRq9+i8kmJ7i8AQWFJ2Y7qfO8Y9fNHgV0ECCB4tGb+nTT
0PBbz+TlZqO8gkVlbkDstM9Sb41t5uSuX1kVuNzc5vg5oDKulLluC4YPdHWSG5phJeFnTMorOlP+
UJJ7PVRVj1clvZKTR3ByA+UwhwHJAuXZK1PFmRGrYDqjRLFWw4If7aHOH0TiXMSaF/Ihzm+WPewG
X9LOy7ugMsnTCGESrCYPsJRJC3ythyoE0FTzUQE+WG3PstkuJ1GJdt2SHL/Opi4i9UCxN5nbfc0b
b22QtHyoCi05q1g/fUMHGz07WwX32taawSl0wlaI43IcZHV24IXeoaWl4rtCr8hvDpUHJBflCkGd
RRIpifEG8WlbTPbeijocfBefqDuHKmPfaG6/JmigZtiskXzVKNO6GVUTKo2Fst+NdmMHHKk2bHPj
aemXiubwWa24+6kICTO0DHKUGzmA44t2sdERLFiTmpdlykak9V3Z2A/uOJ+n+uBAQbTNrVLge9bU
Od6B7XmerfQLfidzlwKahSo1LNidVDnUuvcD0H5Kh9az1jwT6IbHlT3wSLgyQk+fwhiK+ADpyC18
EbV+DwWNqIdMhX9k7Ws91b5M5qz5QjZnoyK+zpM5Mil3q01KMlxgFcwhZgxPKyXjWUiKtF6TTW4G
8QwdyIyn0Vcz/jehySd4mflaOIAtkL70sG+meqe53MHS8MytTb2/DY30Xup2dAGeJt8a7tfIa9QD
zszatypbuUN8kEPdsv8ve+exXbeVbt1XuePvwwM5NP4ODk4mD6Moih0MipKAjZw2NoCnvxOyfC1L
DlV9V6Oqhi2KJwAbX1hrrtSOvEKI+3LM/U3VU8BkeTrvGxF0j3pFTi/qj/x+YdkR9f1yTU1b7Pws
V1sqXXfHsKyMgIB7W/InGH6Ymn4r3I7MAJQ4W6P3U/SduRmlg0UCsZe5R4Omf8MYbzyYZnIciE04
96DtIs1Mm3fSgXlJMroVmXbmkasWMNRQZRvqDj773sn0d3Ns6+GgEbaBl3jZIS/yNoFEXtMtefWQ
a9Z8GzdSPxlDr5wwIBoPtS76sa3b+OwRhpKUjoLAG4vc8R0vVV55sLn4g9pVBTlyX+fuRbPzj2LE
dJ1VfnEcW49Rpj9qkbfweTZL7xw8IiNCYelfpjhFY6QQbzXjYjL2Hh50XxzhSruI6DwR2p1z78ZZ
u1W6VbM2mZgpqpVHak9DaLbBmxyKewFElMnibSEr4pgzAQ5ZaJ8xsc27olvOYJCvhOLP90yplQub
iXzAaucB+duUHUmmc8yUNAUmACRbvLZ1osLEXx56wigP3piTgpZ7Wqh8ObAL9Gf4J8R+d1XLJQXT
63o2vZ0szdegtQj8ERQeY9k7D7EJdqz0gq2cNRIxmRlNdvt57Akv8hYiKBxs53u9MIwTeZL5Dmjh
uMXI3ocMisknCkr/wNj/pi7MF3xPVwB/s2PvTE++6r3QE+6wKZA6HqUuqkeQOe8LAp6ipvE+u6mC
3xWLYaMSliOGPHv2wHLFN08CVj3jz7q4RgbEMLS7LdKYsG2LkOe4bb90ndQjEdgxAVay3iNXF1Hs
zNm2hStzNcP63ttT5wNBiol2zFCNWulLgDrmcbbnA3so47y460oH+wiMsWKMJp/fWC3LY0v3cgsj
8iozeAhN5HZQowbcz0ZS7DoJZ1AvnYcmB7DosmI8z21/hBBPVTxaLLMGaYYsSfSITC33A/KUZ8DP
8uDN3qdaQq1KAUXtpDmo/VRN2i4BYLvxyjG4GYrxVk/gK7W2vb5wdd1Axt0MDj1MGd/X2VITxyV2
kILp+F27OBqp9l4GsAJbbfpkgVPkLJTy6I9Lx1kjui1DCxfwziRO6WgrFHiccsrX1pkmawef5m4v
FsvZJZ4Cd1c0FjSBxtgnXvZejcI5Lpr/OA89g0SCVBot+QLPxDsVVRHvNA8+gd24xg4qjb817FI/
+Q1p4DWYtXDhVN11bldHCP/JTvzI8LIa3uEAiYkohNbQohSflCbsZg0e9Gv1NMRj6XErwoTKCkbb
BfX0DTPOQDWhx6pgvcnqrHR669CaNeZ3PFe04e8sSV4oQSjzTKhisgUGxOmN5nsBm5yHlRk795ZN
Q9d9gK5ZLdUJOHrvBZsMipUHMzIrhJay52q6peuu/y2v/xP5jGmTRvF35fUNpqI/lNW//sC3strX
f/nq5KQ69pCpfK+d8e1fQDjhkGIZ/luy3u+DSNzFbEOxIKwOhNXX8vsgEiaEDvTEIixiVVz/N4PI
n4TU3moCRw/mITfAGfajJj1WWjKmleMcx0lv4ohwpvw+XffbqERHzNMOfS9Dvx0V1LIzEDaffDrN
DzyYp3dO5Tcf0NL173WrYsMw0WB/90n+B6IbXt3q617ZTXQrJHv9seYPmHHEiCDsYzba9Ssoqum2
1dN1PTMxOWtJUduzR6KaaFba59//bmIbfpjR+kyOiflauyLW6zjZ//jbiWorGleK9hgn8XPZxhaD
DymC6zygFY7cxoFbp/uVy8fkeufJDsQ7tkriZVqwLmIShp3fLLN1SgpU97krAfYVncy3XVu7cH78
Bh6l9JxjrMrhymisZketbIdLxwotm0rOaXvsy5vUnHVcmQbHhO63LUQMRtiRlAsoRWSNWhtag0tN
DSzuQ8ImOqz7LIW56tdnryfXtqsLec+Ao9rVs12RkztYKOCTFvkMsPg021jC1t9rrJS3fu49ymkh
UddGy0Q6qdtUl84myFhLWcYyArDGw6yVMNq1xQqJCWYzsngKOC7K7HTTpFW6Kc1pfq4yv3QI+QiM
K0dlFH3dPLwH+cEsWOgMV0LdSCcw6ASHHBgfzTuVFu5+gte/0WxT9aHumqs7XsvwKAphREi69A9F
rbtRXXl6F/npFGyVtDqxG63Jn0PBrXQ/wUdhkgWNrwgXOx0eDVmnW0zoSh4DPyiI2TZJJ56EpMwz
LNXHoQAGsSuNnI1iFQ855YTjNoa2pce0zhUWNQqTRJikq6WkLuPTtPlaM80+UAeaGhFebhcqx3km
qsXfpo5b3cJ7m3YQ8UwEF6AuqacGntqJPhk7CHjdrhsYlc2Fqe0XWI2fWswBu1wXu4AtWsSdGhwx
jpb3iwmjDwaVzE5L5meRTw7Ba+oNzWFhf78NimY4zARAUFGaQ7IQI2GCyOeRP1HI073uGUAbZ0hg
0wm7ZPxkZaY8+CTqNGHhOelnW+njjVEbE/g1GJ6f2VPkdWguK6XXEVUZBkaCY2EeF8cKXa9zs4h7
7yFNiKq+yFxIlmAZbCT1YHTMP5uwBSLMTtGKGatnE3HX0GCH/FOVpbFAANple1Ov1ac8H0sEdHla
MllqqmbUV/x8J15HgQT9EFSjbZLj27EGlQuqOt3KxmcUsaiRCG2oXxfNYuUXB3LquCtajYjwWLKP
7QJsYRuX2arYDrKrtG0d+/P1SDQ1vGvdG4ytHLVFPMxWPc8HBq6m3GgxdEtUHF2ZRJ0E2v9iBwpx
UL42zCFj52p1f4EuZ1eQ8ihgN9ylSpBRS2382kMJP+LrK7jUJ70+znmf3xseh2Yypbz/HH3MTQY8
6WLKug02mhnw27r1vc0p65YuXgy1bVnzUAuPdv8e639mh50YefU0PqD3a1YRolaQFGOn/qDGldoe
OGMzRqniRt4yZSUTTsJd/4iJWOrX2Hwd/RLEypKbBsfRa9cXtH+NBoP161HOFIDPyc6kuR2yrxsI
bRgvkzCXpwKs6MoPJtsNB+S06ouWiCeBMb86UnZ6c/JHofM/eUIcBNfRTIozXZJB/vZzlUyFAGyu
OdWrnIeSS6db+nPdLe6lJQRujMZ6rLWdkuQUh7bWITwg2/lmrkhKCdm9ozkDvTwhhIALYJNxj8eV
Mv2mw2BbbqrErcHIz+N4nGqPNYQ+Dml5VWrdCsTiFXDtlo19rPAIjxe77VCeUBDGMqr6znvRRjYB
IR9OHmyKZKmMqPZdlu4ynX2kJa2nPtSGVl9Sdw7KiDVDHcZgi46JiVgxV339sTeGd2yo3CNRGJmz
TvrVHUQuq4i03AYF7qd+a4eGL8oR/C+TH9vJ4p3BzP46tca45ZOZq6uUev7RzOXkUgpK580ZKxem
hGWwrFb5NjNrDXKo4UxX0FvrM5Dq9Ep6SwddtKWzm1q/cYj36IwzBNjhGBD84YVcQAyFec7AqbGC
ObKDFkas0ZaeuXGdvvcZV8G5pMtBqkYiiTVz+o1u1hEow+rfSRybxHAO/L60+vf/Fo7/SeFITWf+
7Rr7/Vwjf0++rx2//cy32hEOAkl3TDxdHnbo/FZ7129JpAbJeQ5OLGTZVILfB+etsmuSRylY8Jqs
FvX/Kx1tnWBSXAYkq32lDlJO/SY7/1aLoVj/S7QVo+LvNcmIkZ1VyonRE7qPHXz1dXw3j42lMkiy
b9VFlp8ScrzT4uPfF2A/rMh/+gWrRPa7X9BNwPKaiV/gs1mGkxHK4FWMF4GFpvz097/qq3P49+Ey
Ua/U0dTmJlpRct4c/QcD2IzICqeLbVxnTkFyToM1i7bAncl6MfPWeemzKfHfUh4og77XGwZ8y6Yu
nFlUJ1BLbVJ+qtva9xK0jnaK02PPZFbfz6BaMW8xXSmvZGeTHHTWXcaFRR9kcffoEw9ydknXiR/n
dthlpnBOmGmN26ytSRids7jF3W9WRBL7VocSxRxdjdJIjVZAWjogoTRnDUY+fIfysRq9OuJFoLUi
uoOztJLmqTMa8W6eCnku4lZ6q5iqULuSJ61Vnr2B+GeH7IyLD71UvSBHY7WqJZzc5IN2Gzoa27qx
Na9ZztkQpNqD0mlzqy208TjQmlUyRDDEnght8Y0R8+8253FuPv////f6iVs/Eowexdvw/QlAuxnQ
h/y1+OUmL17TuvzjJufXH/ptk2PjyeC0oGUCRviHvE3WMexrXBeTubnC29Z271vLaXnrv8HLQbuz
SmJ+azetX1BSY9NgV4T+hV71vzkzcGb88dQwOJCw3tF08grwx/6oa+8Y2VYTstaTPWhTZNkF49Bx
ABgw+Chuq7Q+OgG55OHQp4uzBY4utXcp1+knZmcmWsKJsmGpNmVJOA4JZJrVPcq5Lc4IM0V2OxAP
/MI61ftA4FB1ShlznQeVmVGg4cxodSHKE3LNfOfmwchYPEOS2LQa+e1pU1MpymbZlzNTI4WeIllS
s+FeUV3wYRSz5R98fYX2D+3sPo9qkv7tbDpe5NUiZTbPenxruWNVbYKk8almBy19lh3o80ONDBnC
Uc++4Wpw9JQgZa0odXvd54t0AihKcpK6wOXCJ7dD0kwWM8tZ3m46Ubuw3Z0zApuH3oVLsC1/DXOu
OMd8pktmjN8ryqVXxhf/1xzomLsbOL6YS6naTYwfg83ROCIFNL7m4qpfQ3LzVDh0YnnVO4jWK+Zc
+aaUHdG8qFYqC1mJb2olQy1mk6DowHPg/nOyxl42uUu0Q7NhkW4CqkIMJOsl+7TE6IUdElVKLBto
XGphh3i3xwQy+xR3F2Q22lFXVXerk6wRLkQrcJjZXZj1aXUk9G/cY3k1GYnTdodWry8I7it1ZxTK
2ZHzNb96TZZvVSELEBtzir6kb3ejX+ZXHSqqfd3b5RFFv9zn1diiHa9qlzCSYp0jThtPppAySuJj
LDdNblD6VCQuFFMEigbl/0CXk7mIxvsliO+6UpXv0S0OQE5jwpkWbWxuSKN5l9dlcmclbX+r0tG7
Y/80fkiReURJYMSnrkmnO66HejePtaCenuLbwqzn93narAJESdxQ7JlxxMPTuwRBHj+lzWQdptTV
brQpXgfmnRbsRq+zrmJ09nvAqGJho8Gm7gnHnhN6ceG+a12jeujnKUf1H6cASNh4WtNGlJ03baBH
LMeKTYobBkNfbiUj+qOird+rAtQPmHbrHCxe2oRG46hHOzDYXfpNtyLZ8674Yiib9hlRqDOFCZhM
JOg1BiKUdLdMgbxjp5zHrPWiPpO2FdrW5F0Zc0M4SCaWokJHIscbCdvrbExTfaB2kEiGZr5rWfTd
HX1+9dShoUYc7jUfkS2/N8gI2wyF75/4psstih+b6L0GcuxcTHcI0dNTxQj8MUGy8yytpSxX2YP5
ltWdftaWigagbS2AVsUU7Ijc/DwGxLgYDsKJlMg1vkEveyDSRD7rbla8n2nL3ltqEM7Gaf38fYsP
IVLU8AdXG6CxeIa5DYAX7UTjnlWdsbch2HqfddZ8U+FJPampDxCEzTmFAj+r3RhoiIjhIt6E4YEu
bqs4m06T1tCh1klucRUnOC0dfypCMWhE3GgtGYhKNhsVo/rhcxlCz4NkkGg6+9deofqDNc34zXyy
Pc26GbTunVi6h6zRvE+EHOW0PxD7SYhBFexszGZhE9ll9rkEVH+lD/RmzOXiyBPJMbB7j9yeruXW
kP0DoYBF5HR6/eZK3SeRb6lv2SwsH1tVd21oaAW5s6Vqzgnbj3dJajsbt0Xvwea2naNlCZJr1APy
w+BoUUUszSbOSx3fBCthun70MKJJXllRiM+FosHux/bKlLHaOq6ayMSU1rPJPOBgQQzxw0mp+Qp2
H2Tl3KW0GVjHccdRQ12MlpUCEU8r2lf367s86/t20wxGsC3kZFzGXmDCKOLVlpOWKpsOZjpM97Wy
e59lprIexiH2P+YKW1MohTStDd6jYBvH6Xxva7F/VY+V84oGsz4HLuInuiODc07q1nSbGFWMBt5P
+9BUtn4N59B4nA2tv3hIuGcizSwVYczBU9OL9IjQcRRhMxv+lYYZ79ILNnWBcurNoE+QY/zq3mAJ
dky0GMRK2iPSzLDpOBDFETDb05U2rEI5v/Hf7LpzvtSa/Uk0rXlleGM/bOaWUV8RsBHqMo2bXMuv
FVvY68DK8ytIczSQ2fKWIpgOW53Gz56md7XePUztwjbbwL3NmplJF6vTnWAgvdfFEty1RldvNddM
CUBBVnhItPRSENmzYwEVs2rrjPcC+Oo+Sxx9x/3+lrHpvW9NAhVT2svHxEM+ZaRdc1IZm1MiVZzi
2qkN+sm+Gq/rSk8OsBtw/bqlO+zhK9Z3XLkYe/RA3Yq57j61E4tUVKtGQdlj+0840O0Tr3COTNXA
XII9wJAhd8rbMtacXWGSp2NUg7nRmT9Hc6+LK61LPGgKVb0f5EQqnJyGD2ZHlELh1yDIvfxl6I2P
2cqmXng8Xo2qTGToEqRJQlDLmqyv82gqsf7M1tR/MUhM3EoSgB4yGI1bVk3EO63EENuHzGB1WvzA
vqa/MDImRjNgcT/3cJqIh7LIk1gI1gptbAobrUu1o5LnTtjpxqnUx063i5cWdd0OmWD+qfRJVpkX
ne/V919Sv/jc5aI/WkwzqLthgrYO/y+mBQxnB3HCKAb9qGeFHY3CMHfmIIyrpdGytyDzcUcWX7On
Kg3pHqS8bCisE2ossWsGuPWSgmQrW8x9ll0TKDZReQFncva5mY5nUdawFooJwcFgaFqk43jfTFgk
thYBaG+Do8SG1/4oZGJsJBkoB/qPdiOc68VWzaGyyxxHRWDuasN5a/XmTkrY7yCzVs/MsueI1sLZ
0p4NYc8hYS8CHvFChVHo7jbX64vXdHeeDnOgb/cL6hBWkjnktrS697UBHWm9JDuoFH6I4A8/m6jI
0CHxql+KZBfbxbVVato90aVqX7gyONhzlkSLVd4hBySYR6Q7JKkYz2ut2rjFjC5aGlEu8mLfD00N
H6upcF3VbClTMm2r0Vo4hD3rRsOWHnK2e4+DjYdvyeKaJFjjM9lnCE7nDP4ASZyhKRqHB1me8jyw
JGRJI3gT5dxCROLyq3vt4E5jdedqo8/DeEnD0ZHM8YNGHqeyCw4ZAqMwEYt/Kof5DhLnix177/6d
wPwnExgGJ6tT+q97qfu0/vT5f4598VoxMPj89e/8qoz79Qe/9VPY3421W0J3CsLjV/nbb1YC4xeQ
FWtUBHkfrFj/r5uyzV/4CRos18czzvjm947K5q9jwvB1F8g//mHi8ncTGIY2f+ymIIat4AiGMKzR
A6R2P+zH2i6RXRkEIBa5VUF9pTVlDmfDNvEDqPym86zKcbwm5FogLW6eIe2tBTjj6FoWFPtLiquK
opm7oqyQcuhPuMASnmRFm+1qGxLLQot17AyPjdCsebtsRqLv996lQeeJGZFZxaS6V0IOr13Fvaip
fUyacDR0TsC2jBVQMUof/bT4InUpLkgzWFF4Dfq5qm5DXfOXcHJYrgh9OdeBfusa5GAGnXqtJzXh
1WHxb4PN6wbxhfywPCrhv62QnItnTXsliB1okupLkFfXGADuY6LFkOTLnW3m13Jebu1sPiNEoFPJ
tHBKxevcDHVUt8ubw9lSjMYa+f3cErPIIUi4QplagHzsA6hMN1R6H2zrPl4QwPsXY7Ce87F49XRE
fnqi7vUuv14/gaHEpW7nxZeswU3fo4PbWcVMl1GiYpOrCmJU42Niqfu19d0AkSXxqQjeUFYHe4MY
LDKHzrk06+MCcQTTY88Ho+uMj8XJBAC+mfLp0aVoUY39nFr5iTn7a9dmKIOdi5daVC6kfW5t3pCy
xRcCr27tgu9qtoZdG5CIiDYI9T5LxYmBOTICalGz5oMy0w4IotORhWjqAPXyYNhIbazPQyPmbaKt
n2VavvI0VCFPBYhwqP2YNPXbxuYPaO1yi2/xdjDVHhfy2fBRg2mjfm68Wtuw3/liFfwxxxDXeT6d
Tb6cg08OG20C7xAA19MSDzx5BrdA/mJpUd7zi0bBqitFqn7VOdmJVuaps9uY4nl6LHVCg2How2cj
hBB0/2s1UtAV5vTm18t5NBOxydJOXPLWexaT/tFvrZtACVxzCj2kORwWR3awb8fHpXUOwCCRDnbW
IUGsEeJkQAM3jKSkyuXs1nO6VYrvkxW9dQo8roRpIfWjNUsrbHr9qUqMt4AmguzujnFFUpyo1R7b
Tj7aU/GlJCtqo7v1EMlyerRiIyX/cWioYOpgu7ga43dDUPGtn7tREbMa2M8YJLOdazu4PWyPpxY/
x/tkBIBqSJHhKrxu5mnC5agZWEIolF+yGGCKl6UzIJt4vLNcLrtiSmIqRsr2mYXiofXmEay4Mx77
0vVXJ7F2g1qu2KIqKW8q2P07PS3GU5m2/cbUCuttMPqXeexIhvbzJuGqqQUK0I4ONoswgVuRly/q
NfZqPMj0/6xtiVWqnvIqfionOvcIo04giHEUmymNL3aVv9A5jZucVGz6XMLoLRE1ACe2VL6pgefX
pYAVYHFPfg23wfXaS6Glt1VtoxLS7Kdao6bsUSttR+m8EkDfvVUV6aCVtmJ8XKS+HqaeZgncXclD
OaJKjG8RMOKTBg6OgMd8q426CXvwiqzZ9I07mcbO8nhA8yriUC5chm1sIKNFIXFj657cTyYX3Zx7
z57mXqTZqmM8dl801Z1tN/8HiPlPrAeIPIzyXXvlR7Pf/WHQLTLXliQj0yqPGmF8EnBd7E8XQW4f
YGL3H3QNPHm+n9vzzFghIuaKlsDI5v9EmbSVrNzZw0XBrY7JPj+ZpBwDCvjHRKxVH/HdUH39TauC
gnZZXzl4Pw7VledNVoZ94mDiwmYhmYfrcZwZCi0uqz5KeTXru+8e4N+2FN9jWoI/+51Y6lzkLMzm
f4w3SKwqSP0+rkBmOCkKqvGxnrixNcs+KM0pNuv7Jerm3PWcbn//q62f9CLr+wVGr3seiNKfgMcN
TeeCCGBF9XYWJt2SASGqiPW4OGd1lh8IcntT/cS2X43jKRt77tsAJWeXzm8pQNoE7gQhHjx1CewM
ghI2iyRu3FdnhX8DXTjyOcYUhB5n15Xb7UpnvJ/K5EkntjtyJ/si/ULbTDWEOsepmw8JncPG9jke
/v6d/sklBAsHN4CBNuJnbptZiKCsTRvdvNnv7Fq/JeXzFt9e+w+f6J/ge8EeGyv3GMk/l9IPCpxA
Gf7Ev+RaDQr72EPRnWkjtnrBIVy5QRb1fn49JEZ5V4zzrTfo5R2aRIF6JfnSjpzLa6mCxSbHCzWd
Ew25R6Dkoxa4F6sb96nPce80osQzmbr7djKn58Qx532ZmM12ErM4S73r76t8Ig+Tx740hX3CDlCi
Xhzqs12JL7FA4V3lBd/i5Nf7Scu+xPXy5Cdytww9D+/GOqSzc0jTSmySknBFQAlntK3FxpTLrTcj
t2CHa+xgN7x0Dmpsz6DG+vsv7E9OGCb7WCiQykKo/9FtutCMtLZmQfZTRGFTTkycbExacWwq6/D3
v4sK+6e73iEgjm/LI/LmRzRnZ87CK2zAo04+3tu9OJH89A8H5ld22A8nCxhV9o7rf0PyW1/Dd6tB
keJiKnS9OtTB2GDKJJcZX9bbetIjAp33AwILYmsPgWZeVBykW/xRxFzE7/ss++gzpEcqMHaoRjPr
MGY8xNOA06mZy2tMaV8WV1lbj2jPQ2G5S5ihX2UqtPRXhXC3WEDe+QP/2EWiebRnjAXsAVUIpmXY
4FFrdmYHicECy7CXU4M22hRfHGaFyNXy63HKT7mTzKuPkQLVUFS/RrOpKiTfoz7c15WZbjGu/ANL
0/6TO5bvAggbu0do21/3n999YJXZDFM9l9XBKGgUxrQUGzFIKngt5z2jJIGmxzKwmP1LifxpE/ed
Hi5GSaI813KcVwyKKrlTMdb7wTXqSKb6s8oaK/J1jwHr6F5iCfZVxs4lDUzWih0nUYMDLUIX9aSb
6m3p9VB44mGyqA6DljfcadM+T/WnmUIsbOK02VuFQtCn7hPHXaVWXJ82aaFh744qJJw9i8q4CPam
szwFTTf+qnD9y4X2n9wkPDPW/xCQQPdm/vGiUkmLeUjBGlZ+FVHiTKGneDk2Nsa4Sf7hG4FM//N9
AmjU4lgDye//dE+2tjVb5oom7zCvbg0XH5AfZ6eYJ1Vg8P0syEHCZaZBGk2OqSyjAkyKazenAJR1
7CJaChqGgWO7DXCAhmIdIpM5/hFUwhXjhpsiwC2RBlT7U1Vb8Fn6tzJb7qdiPpfe+jDmMkus/DVW
a5WK2TVb9OtWwiqZanNDubrFnujvBr7Sr+3lYk9WxMbIhH+TnxiV8xONGndNLIewgMFxnPzp9msT
FFcTcmnM5KdKqkcx0Ej6MB02S0ur5yzqsRsSPZztAFTIiBrGuG01cbIsqjXDk5Go8pmVBw6Lkn8S
j+sF2chxZ9hdv11vo35yLrWnHt1kbSCcXON+arRN0VIt4VC9nhi5RgyW+m2nOc9t5nCLDXF7FTjT
WzcMkZJ8wKilr4VFzxIQVbSxC/s5S8d7ZdkIOmuARVV50ka0dyWUD6LRaH+G4kRTvCdpoIIbP3Jh
cne4arhGr/OS9qo65YbDYHqMcDLPm7UxYusi9gpIzhkY3gWv6bPZiX96Hrt/cntT60A10B1WuNaP
cDo8CVlr2g4wT29+w15zj9ztQn3Bh+dwW6/119dWu17dyQOwNOa23PNVCitN9dA0Mn6sLcnNHoi9
CHCc+WNnecT4ktwAs4sgrEnOh8LoNRq0HHdLgsgOplLy1gINu27ISI6WhOciI64AV0pBle9ZF1Pj
jMmG+Wm0KLf0zmo2rEcI+kuGnMEnlXVCY8jzMLUwyyDxhF+Vycdh5ATFkHbfYbXDKlNcj1Le2w5U
mbpwpy0iLmhVCkhXqh6RIPoY0rQFj8X85vZLs+ua4d6jO8By515GHiI0mfLRcqfbtZofvN+er/+q
Ff5BrYCDdL3W/nrC9v5zP/zPk+gSUYk/SBa+/eRvIzYPICRtHs002DauYP7SbyM23/zFZRVLcA/Z
Jd8mab+p5PVf3DWFzoNHTb1P9s7vsgXvF8p/d+W/4U3FZhj8N4M21//pBrNcpPYAKtDro3X6sUVL
ZlsVYKZSmmhPnmu/YlnMQ3XNNy3tqLCHGlVmtpT3lqdt5jLB/y0mYrB1Qx3ytNMy1k7SQ/kbdA+I
cTXOvSJ4Ev5Q7NNAS0JLyKA+15PT7iQ03JwiLXWOjJ68biczGS8bR7MV+1z49EAncseNxgDUkdOU
06FlaVL5uUSfPScdnns/eWdUPc7K0cG5FrjZc6DUk9EXPDXsuJ/fLcOIz08V806Mmh4NiEHvyOI0
TkNd4UWfqn41Y2oF9CUtbu+duRVX/IjRwDz0xn1Ta3cibrI+SqdMreFr9fWi5iqcekt/j/dkPGeW
Pj9CHLN2eFnSW1Sr9OnBsr5zrGz91ixdEQmSEXe0xNRjKVb3hyR1ME9aU7PJev61p7fGOTDEuzqv
HZw2w3jt2/POx7K/0Vq9jhIEpWgWhT085E3m3ca1Yd2ReqBPIeJR20DwLnnHha8tUSDjgEHBaG/N
ZjSIL2qLiNecR1Y/2Bu7DpjlazhB48l6TyZbczBQdXj2DMJIpjdY08aBwQKLkMgDmcZwTtlk0yeL
DcarWx8FlTvQoS1DGJfDgSgBLEI9aKmwEYux1Ub0VHS/Von6F/IKu0F5xT7qMGT6B5Eh4JC8ly18
qqe4mvUTGuR3KBzsTTDr1UunsvlkYBvE6ewTEp4znWO+ERVZktz3NlKNCPFXce1nJaOTCrcWn3KZ
eiGYAhdJWu/eEt8cR1rqjR/iLjbvcD9nWydxp6t5aT4PJlNVaofF3catSG4XlfWnKQD3l7nWhk57
ugKOyJPWcOMIb3R8R7H7nPR1tUGTnh9Tt4uTsxr0YrybgqRuX/El9y+6auUXkY3GnVsCEV+hrA+5
SxWHQlheIUtt3c0A72UIiTvtrqWpv6jJlheN2dbWVPpnuypfqMFqLM9O1R6JWgOUgoXxBqC2scbp
zv4HP0nl46JJgC9jXGzdFiTiZimlLA+6LZ1sF7t1VYCyUeolTUCqwb9hRb3ttRYzbJ51BkaB2dw6
3sDEnGenfjfWC6NAPdWvmjbwMJJBzLkbG/NWOcaHpQ8+wFgJO6Jbt52nlyjWXdHALYa91u3p6c29
npjuezBz4Oqbzzrbb4THXtFsQUvpB6cYKc7SghV9FcDHyVLXpL+1jHv+BiwXVp9eerx4vhuo42RU
JZBK106njUx6ZV73Qb8kez9mXIb1rflQCq2R990we7ykfkeMbnw7MlwPuzZvrnEQjFE/utNO6sF+
tq30mOfL2N6ZWA/Kg4yNMtj4cs7OuaUjrRE9bIcQKbtz3eM33HpWnR7TMja2bfO/3J1bc9tGEoX/
iivvVIG442FTteJFomgqluzESl5YtMQAIO43AuCvzzcAaQmU5CgL1S5r+WaRbmKGM9M93eecFroq
BgXCYaybX9U0qDVahMxDyRhc2sC1LjzTFyJe8mCqLestRfu6nIYqQEby1d5dpSn1ONgk5dx0jaka
5gEhv+g5Z2b0GvHSjXYD7M2bxLq3haPsBCNzi6beJgnQE/OUHU0NivgCjDwXpWFgL8qtVjIDG8Fy
9CVtpuVmuqikfPBbaY+dwufm7tnjwKdTBLFaZE6qgRJMN/Fcr6s7ctHwSNJMnlW75Y7WKlk89zUp
WgybJg2aOqhSsiyJLKGrpinGDLyTyUmVJjf0nVa+EM7DNICeO3Y0IqlRDc/nYjlYRhB7fc/7fbcB
86Ii9z/X1CFKtOn2D5QggYAgwUNVw7DSqazpw/Nqt732d3b9J/lzUAxbw0B8x0ZmxXBjcpDL7F5d
6slYNxzLO3d0AVpH9W62DGp/FEH2/uj6xR/i4jWFKrq9DHdJyS5dAiFHlaksAa4Ebn4vh3ibiaEa
2Uc1WAIusoefbRTpwWAE0tyVRHkkNDcXvjFAUWqXXgK9gQGOg52EBhn/YTiA+pyGFKBrMGRLy3Nm
egkTXDdMaa7nYMjw2OY0gzMJVn1ozavQcCeV7N8u9R0Jjcw2LsrYAoa+FIUgty6i8xp69nkQc/ZS
uPHHliIns4SLD/dt20vGUqV8SofRaBBVMq2U2KILJ7bda1eqQHf4BPsUJKyxhrTDFeq4S1gFybwK
ggQad5U9aFFakW2Jy8kGTsnHXEHacQc0d5burG8ElcHM1oAfWHYxKbzyWxDAV5eGNQyRAncDYmJm
ppl9WZS+wp3TvKY/8S06osq1EqBKYBZb7YZaSzBNQYTY9ea2kLLBTelsPpGsN6+odMjsRv/aNoLd
tAJsiGt0gVEgJZvpaA9kKQUjyw7PtS385hQpuV9VD450WTCvtwkECB3OT14XCzAOdjSR8ZwpteYK
dlIuKbVNZYZajDTRQ3MnTZylFe8+B65kDe5QuarqsYvI2Y7LGgkoaeuFXNGBivmw7WHBDGuazdqf
PQ9y+3jXsHsy0BfXW2j6LCuag5/Lmw38Bwlez7puCEJSgVSFjJYUsvFQoL4qcVF9DSKpujIEyagQ
dKOE1iMwjwKDIhcKZdsrRBFLjn4/ZA62DmQlQVsaBpyYJgi/VS1ITcBQN1eIaRfKuSZIT+auIGMk
BdmY1PKEBFNJ4UaQpORiQMUe4lRWm8m0NBMy+A2vKgg5Xr1EYYJI9FVThHPs39R6GZN5AAudxh6X
FivgWu023C2JIhDarQW5F7wb+YwIXep5GheBMwH1HCN5IdcFUo94LmmqZfi2c7N2zM0oM0Al7jzf
uappTQHKwMy2xUxyatDVjjdAdVfQzqSlxKWHi7/1yxA1inwU5bvEnSJMRTHRtHbpGIUHfewJPhvy
ABRAqo20uTGdNLndWCiBQuyvXdqO0LUgc5fVNDUl/XLX0OUSD6EPanGpkZ1TDcq/+mQzxkvBsgsa
wh21sPqO+gqKCpl2oeTLAhhow9IzYX2cJ567RHoBEh9aHPD5BoioTGhCH1yrNd3PRASU0KuEKvhM
FaRAsFKbkR3TQGcE4gkUTNwwCDMvl0YuF+k7Du/dRGGSKN4Ov6kAV9jYNG0BnVbAePE9qQZNRu1o
UubFpqa7gyaPctJn8UjVHepPSWZSnvOcYkK+fgEcMQY3BR2yFMRIveFIhoqp3WS+YE5mWuhfqKS+
J7CPlCuz4Vj6oVo/QPyDFE/M/SskOGO+VB14mW69NT5mEqHZeGkPbWtBBVEZybVxlwueSy0YL7rg
vviCBSNXmjQjfblLR6QJ9d+VWN2WowxgJHLfBucAGhcLH0nctTxYopeJwsmK89S9cssBWJ5EBRW8
pYaJWkZgwCpPXHQWcgmJBTtH3aIOc+W2GEaKQMIBDakNb+KprnWBGFMx0artdr4ztuU1qpLlbWag
d7sJy2q0QYviPPJiZ1UnJUoMchSp06EbIXAWD2NqaCSHRkFUgZdd5glpOiQu5K1kPMAbqD7GmQu6
n1Lf5xjWqDbiPN9QIR5mX6xQ8u/soQQlEjSLRaXVXl6RuZWu4AEnU4P1OofYoN8ou7wclVIczWSh
RDVAcI0kjRpP6tAYEvsD49FgWY3gZDkeR3MQTku4sRcbfxDOKolYPLb88ktEz/PpQEoneZxsfnFp
KUJKK9hebwxDnnNIbMlBOWwWYysTsHDyKV7qjmC3xhMv2OjAAIYBzLRtnZyLnnlEDOpmHrvEKCCp
EwKo3L93PF3b0UfDKWnTU+h/bnPohnoAVG4U+1a1gLBZKdMyVaO26vR/c//fD+TF5hLfESfi3U90
wMq/RDBiXeBGj+0p3vShA5TlZUNv7FahN33ROhmF5qGah/mRDX/FMxcPkCtUlbwAaugK9Kf29dMH
H6Wm/dsD0zoz6LdOugxEjXi1hIsnk/TaNPx4hM87eTy30xnBPUJSuegAYrtR2AEgCeXRt8zBkYXH
OVCsM40SL22VSHM/HbyFYtcQ2hjipu3geZ9v+u8P/nUKzFAVufe3DP/IxuPwVf0MByvoaWY7SrLv
nVlQRX4IjWC5/aYTGr6iAA/rOXyFji1kxFS64L48fOuMFUBNnjYszatN4p3QLACde5ZZ/MfngARw
j65SmrY/Bxjl00XAOSAQetSVkeVvXqe2Ffj5hM5dr60gm2eaaJFDz8mj4ctnKp2/VJl90Lz+V8fg
0S5+xGECbmTf9ho95yB0V7hh8OAOv/HTNWBo7BSgN1DR2rfbrXdKOwFc0LEAzT/dCZD7uD1RThRN
d54O39TOZMr0lIRpHyJerd85oeHjpVm3/daAcSZr9N2j49SLpyGZDEiOhuhT1dZ/2y88oUkgGSTU
aXrNAuxvE+24g0OUpCOXaBhnJi2H8AmPpyVfeEKzwEGt9j0PVOMMogmBETWj5gXr/OmGAKuGOrzY
cgCcxKv9whOaBYSQBJag11pQkMBXYOJqyv63PpoFA88IH96kJNfumJMLEqnCy+1DtfiO73eOf3BP
wDcg+mTgHCD8ixeutrMWEFkghSnLlCabCT+lVSCT/++5CmAi4BWGYgZeHD9XBbrziRBxH0SfnG+U
Obr7rgJuiya5b8vYg3+s5y7SYJsIobT2xDi5tcCFYdg7QhD9MuCRMKPtWsDdPN0L6NjBdEEngxlv
Xic3C4TyZt9YmRNB/MpIVreDFKFHZxZ0wiWadSBJ187SyYVLaD7ofb0D5CVLsWSVG+KLa4GYGdwH
mQWgECe6Fqz+V2j1TKboxM+9H+SRi2QjnEEv08B7t6fnyQUKCgmwN6aRjm5gj3kUcXEAYUvP4H22
6OhYMMwznYjRVNX9Ujk5F6Eo4NR7OkrCJVpqWEzD3hEeBQqmyDYp3DGk/QWjPYdOKFzgUO97f1Bo
2suCl0mqvngqMAmmKokzY59TOr1blMqR1XMpqPhJ4mKyRvsL85GHaO8PuMl95uJNa+ANH/qegB85
rv/Q5OfddfZShv61Dxxy18/ff8p8JfHc+aAAALbf3aZlxL9/7hwXzQ3xyZuHG2PzPfv/vh/g86/u
fNdhVIc/XrrrdEXrvbp5o94/pui7/a+f/u2vvq26KkjtGn98kmcqS9+vTH9jOPNWT5PxyLARXfW2
izRKFHYNN16qv2FvFWar7PCIgsBMbZiF3tfyaOVDF02PkJttQqa37ciP0tVDRzkZ0hZRZX/LYbi+
z11U6A/GxJQAFSCw72t8vPZX5SpdHywJy22WsrflvRjYh+jPD0jHFcG3LmAWUsI7rELaVabuQ3cV
tjnmvs9Pg0FQvl3LxAQEIH0tXzLjrnuw0yxvhaDr8IcXIcpv2uqzB5TUDmYauyq34cMfetiFpk3j
he6ObOsZfediFj7Aau7Ocnvv6W05Ko/MWiYhb1+z8+dnE5St4TsY5smKe68+WGp+vzZV3veZP0a0
2n02zdDM3mFtLFZu2Dk9KEO+h3tZrFAZPpaxkKjvHObnP1/Oi1WWre6dIlvneWdN0/BJfY8pce8d
1151C+BtYqfvL7lw8QXZcd+rtr7c33aGjFPmxnHnbJKRFSP8fw/rUZEemxaF8d6mozA/OkPkIeTQ
/pav19/S1VH0xA1aJCr7PvT1ervq+i2Z6j0Xu/6Gyw+XqyDOHLfr1rFvvcPuuf5hs9rXZWze5MGE
8cW6cu87bowckKgav8fM/E7H2YMlccLu00u9TTct6UYrWg+4XW+2r268zxe83vOu57y/1vOjr9kf
aLv2NZ2ukWrs/JTtbbjvTH9ah2FGP+/V0TVhX7Lsa/7vJJp6TsvnqKA34ksLcZ9U7/v87Rc8X4jC
/DvcR74w++ssW3dCin3Kq++jf1lX3VvlHpnU1+6v+cp5uhD3pby+Zn9bpwGerWMZV/wOB+GL/MU2
udr3ob+u8DuhDa2u+9xNobu38b8jX/bcPF/d7D4KkdnsPHsL4Oz97K+L4//wqV/KNH0HMTzPPx0g
my/9t25yTXzi3l+v0p//AgAA//8=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microsoft.com/office/2011/relationships/webextension" Target="../webextensions/webextension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microsoft.com/office/2011/relationships/webextension" Target="../webextensions/webextension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57150</xdr:colOff>
      <xdr:row>11</xdr:row>
      <xdr:rowOff>128586</xdr:rowOff>
    </xdr:from>
    <xdr:to>
      <xdr:col>23</xdr:col>
      <xdr:colOff>314326</xdr:colOff>
      <xdr:row>30</xdr:row>
      <xdr:rowOff>28575</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7EFA8957-B67E-0C6E-1CDE-2D9B50DCECFA}"/>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7EFA8957-B67E-0C6E-1CDE-2D9B50DCECFA}"/>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19050</xdr:colOff>
      <xdr:row>5</xdr:row>
      <xdr:rowOff>52387</xdr:rowOff>
    </xdr:from>
    <xdr:to>
      <xdr:col>20</xdr:col>
      <xdr:colOff>419100</xdr:colOff>
      <xdr:row>21</xdr:row>
      <xdr:rowOff>66675</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3AA944BE-7FED-BC6A-EE2B-3FF36BE903B8}"/>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3AA944BE-7FED-BC6A-EE2B-3FF36BE903B8}"/>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171450</xdr:colOff>
      <xdr:row>4</xdr:row>
      <xdr:rowOff>14286</xdr:rowOff>
    </xdr:from>
    <xdr:to>
      <xdr:col>21</xdr:col>
      <xdr:colOff>514350</xdr:colOff>
      <xdr:row>33</xdr:row>
      <xdr:rowOff>57149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98AA679-53FC-9E7E-B5D3-71BD557C52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43300" y="776286"/>
              <a:ext cx="10096500" cy="55673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457199</xdr:colOff>
      <xdr:row>0</xdr:row>
      <xdr:rowOff>119061</xdr:rowOff>
    </xdr:from>
    <xdr:to>
      <xdr:col>22</xdr:col>
      <xdr:colOff>276224</xdr:colOff>
      <xdr:row>35</xdr:row>
      <xdr:rowOff>123824</xdr:rowOff>
    </xdr:to>
    <mc:AlternateContent xmlns:mc="http://schemas.openxmlformats.org/markup-compatibility/2006">
      <mc:Choice xmlns:we="http://schemas.microsoft.com/office/webextensions/webextension/2010/11" Requires="we">
        <xdr:graphicFrame macro="">
          <xdr:nvGraphicFramePr>
            <xdr:cNvPr id="2" name="Add-in 1">
              <a:extLst>
                <a:ext uri="{FF2B5EF4-FFF2-40B4-BE49-F238E27FC236}">
                  <a16:creationId xmlns:a16="http://schemas.microsoft.com/office/drawing/2014/main" id="{0841943F-0095-30BD-9AE1-B17BE91CE122}"/>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a:extLst>
                <a:ext uri="{FF2B5EF4-FFF2-40B4-BE49-F238E27FC236}">
                  <a16:creationId xmlns:a16="http://schemas.microsoft.com/office/drawing/2014/main" id="{0841943F-0095-30BD-9AE1-B17BE91CE122}"/>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609599</xdr:colOff>
      <xdr:row>0</xdr:row>
      <xdr:rowOff>190499</xdr:rowOff>
    </xdr:from>
    <xdr:to>
      <xdr:col>16</xdr:col>
      <xdr:colOff>352424</xdr:colOff>
      <xdr:row>21</xdr:row>
      <xdr:rowOff>104774</xdr:rowOff>
    </xdr:to>
    <xdr:graphicFrame macro="">
      <xdr:nvGraphicFramePr>
        <xdr:cNvPr id="2" name="Chart 1" descr="Chart type: Clustered Bar. 'Segment': Consumer has noticeably higher 'Discount'.&#10;&#10;Description automatically generated">
          <a:extLst>
            <a:ext uri="{FF2B5EF4-FFF2-40B4-BE49-F238E27FC236}">
              <a16:creationId xmlns:a16="http://schemas.microsoft.com/office/drawing/2014/main" id="{BF0ED7A6-AB79-8B93-9CDC-B7924F923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11</xdr:col>
      <xdr:colOff>476250</xdr:colOff>
      <xdr:row>23</xdr:row>
      <xdr:rowOff>114300</xdr:rowOff>
    </xdr:to>
    <xdr:graphicFrame macro="">
      <xdr:nvGraphicFramePr>
        <xdr:cNvPr id="2" name="Chart 1" descr="Chart type: Doughnut. 'Segment': Consumer accounts for the majority of 'Sales'.&#10;&#10;Description automatically generated">
          <a:extLst>
            <a:ext uri="{FF2B5EF4-FFF2-40B4-BE49-F238E27FC236}">
              <a16:creationId xmlns:a16="http://schemas.microsoft.com/office/drawing/2014/main" id="{7E8549A9-1FDA-0F0B-33C8-41B2DFD62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530225</xdr:colOff>
      <xdr:row>21</xdr:row>
      <xdr:rowOff>139700</xdr:rowOff>
    </xdr:to>
    <xdr:graphicFrame macro="">
      <xdr:nvGraphicFramePr>
        <xdr:cNvPr id="2" name="Chart 1" descr="Chart type: Scatter. 'Sales' and 'Quantity' appear to form a cluster with 3 outliers.&#10;&#10;Description automatically generated">
          <a:extLst>
            <a:ext uri="{FF2B5EF4-FFF2-40B4-BE49-F238E27FC236}">
              <a16:creationId xmlns:a16="http://schemas.microsoft.com/office/drawing/2014/main" id="{D18A610D-552B-4D8A-A121-BA7503E11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190499</xdr:rowOff>
    </xdr:from>
    <xdr:to>
      <xdr:col>16</xdr:col>
      <xdr:colOff>266700</xdr:colOff>
      <xdr:row>31</xdr:row>
      <xdr:rowOff>123824</xdr:rowOff>
    </xdr:to>
    <xdr:graphicFrame macro="">
      <xdr:nvGraphicFramePr>
        <xdr:cNvPr id="2" name="Chart 1" descr="Chart type: Clustered Bar. Distribution of 'Region' for each 'Segment'&#10;&#10;Description automatically generated">
          <a:extLst>
            <a:ext uri="{FF2B5EF4-FFF2-40B4-BE49-F238E27FC236}">
              <a16:creationId xmlns:a16="http://schemas.microsoft.com/office/drawing/2014/main" id="{B3644DAF-233B-7EC6-9275-1CC0D1135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523875</xdr:colOff>
      <xdr:row>11</xdr:row>
      <xdr:rowOff>90487</xdr:rowOff>
    </xdr:from>
    <xdr:to>
      <xdr:col>16</xdr:col>
      <xdr:colOff>561975</xdr:colOff>
      <xdr:row>26</xdr:row>
      <xdr:rowOff>166687</xdr:rowOff>
    </xdr:to>
    <xdr:graphicFrame macro="">
      <xdr:nvGraphicFramePr>
        <xdr:cNvPr id="2" name="Chart 1">
          <a:extLst>
            <a:ext uri="{FF2B5EF4-FFF2-40B4-BE49-F238E27FC236}">
              <a16:creationId xmlns:a16="http://schemas.microsoft.com/office/drawing/2014/main" id="{24E3CA71-7335-842B-6AC3-2202D2995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1381125</xdr:colOff>
      <xdr:row>11</xdr:row>
      <xdr:rowOff>90487</xdr:rowOff>
    </xdr:from>
    <xdr:to>
      <xdr:col>13</xdr:col>
      <xdr:colOff>228600</xdr:colOff>
      <xdr:row>26</xdr:row>
      <xdr:rowOff>166687</xdr:rowOff>
    </xdr:to>
    <xdr:graphicFrame macro="">
      <xdr:nvGraphicFramePr>
        <xdr:cNvPr id="2" name="Chart 1">
          <a:extLst>
            <a:ext uri="{FF2B5EF4-FFF2-40B4-BE49-F238E27FC236}">
              <a16:creationId xmlns:a16="http://schemas.microsoft.com/office/drawing/2014/main" id="{A3F30A3B-F467-CEBD-95B3-681E01421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pankaj-power-bi\data\Ecommerce%20Sales%20Analysis.xlsx" TargetMode="External"/><Relationship Id="rId1" Type="http://schemas.openxmlformats.org/officeDocument/2006/relationships/externalLinkPath" Target="/pankaj-power-bi/data/Ecommerce%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s>
    <sheetDataSet>
      <sheetData sheetId="0">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v7" refreshedDate="45575.534328819442" createdVersion="8" refreshedVersion="8" minRefreshableVersion="3" recordCount="99" xr:uid="{2A8051CA-A462-4D8F-84C8-41A1B182CA6F}">
  <cacheSource type="worksheet">
    <worksheetSource ref="A1:K100" sheet="Sheet6"/>
  </cacheSource>
  <cacheFields count="11">
    <cacheField name="Year" numFmtId="0">
      <sharedItems containsSemiMixedTypes="0" containsString="0" containsNumber="1" containsInteger="1" minValue="2011" maxValue="2014"/>
    </cacheField>
    <cacheField name="Order Date" numFmtId="0">
      <sharedItems containsSemiMixedTypes="0" containsString="0" containsNumber="1" containsInteger="1" minValue="40676" maxValue="41983"/>
    </cacheField>
    <cacheField name="Ship Date" numFmtId="0">
      <sharedItems containsSemiMixedTypes="0" containsString="0" containsNumber="1" containsInteger="1" minValue="40678" maxValue="41985"/>
    </cacheField>
    <cacheField name="Segment" numFmtId="0">
      <sharedItems count="3">
        <s v="Consumer"/>
        <s v="Corporate"/>
        <s v="Home Office"/>
      </sharedItems>
    </cacheField>
    <cacheField name="State" numFmtId="0">
      <sharedItems count="22">
        <s v="Kentucky"/>
        <s v="California"/>
        <s v="Florida"/>
        <s v="North Carolina"/>
        <s v="Washington"/>
        <s v="Texas"/>
        <s v="Wisconsin"/>
        <s v="Utah"/>
        <s v="Nebraska"/>
        <s v="Pennsylvania"/>
        <s v="Illinois"/>
        <s v="Minnesota"/>
        <s v="Michigan"/>
        <s v="Delaware"/>
        <s v="Indiana"/>
        <s v="New York"/>
        <s v="Arizona"/>
        <s v="Virginia"/>
        <s v="Tennessee"/>
        <s v="Alabama"/>
        <s v="South Carolina"/>
        <s v="Oregon"/>
      </sharedItems>
    </cacheField>
    <cacheField name="Region" numFmtId="0">
      <sharedItems count="4">
        <s v="South"/>
        <s v="West"/>
        <s v="Central"/>
        <s v="East"/>
      </sharedItems>
    </cacheField>
    <cacheField name="Category" numFmtId="0">
      <sharedItems/>
    </cacheField>
    <cacheField name="Sales" numFmtId="0">
      <sharedItems containsSemiMixedTypes="0" containsString="0" containsNumber="1" minValue="1.2479999999999998" maxValue="3083.4300000000003"/>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298.6854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2013"/>
    <n v="41587"/>
    <n v="41590"/>
    <x v="0"/>
    <x v="0"/>
    <x v="0"/>
    <s v="Furniture"/>
    <n v="261.95999999999998"/>
    <n v="2"/>
    <n v="0"/>
    <n v="41.913600000000002"/>
  </r>
  <r>
    <n v="2013"/>
    <n v="41587"/>
    <n v="41590"/>
    <x v="0"/>
    <x v="0"/>
    <x v="0"/>
    <s v="Furniture"/>
    <n v="731.93999999999994"/>
    <n v="3"/>
    <n v="0"/>
    <n v="219.58199999999997"/>
  </r>
  <r>
    <n v="2013"/>
    <n v="41438"/>
    <n v="41442"/>
    <x v="1"/>
    <x v="1"/>
    <x v="1"/>
    <s v="Office Supplies"/>
    <n v="14.62"/>
    <n v="2"/>
    <n v="0"/>
    <n v="6.8713999999999995"/>
  </r>
  <r>
    <n v="2012"/>
    <n v="41193"/>
    <n v="41200"/>
    <x v="0"/>
    <x v="2"/>
    <x v="0"/>
    <s v="Furniture"/>
    <n v="957.57749999999999"/>
    <n v="5"/>
    <n v="0.45"/>
    <n v="-383.03100000000006"/>
  </r>
  <r>
    <n v="2012"/>
    <n v="41193"/>
    <n v="41200"/>
    <x v="0"/>
    <x v="2"/>
    <x v="0"/>
    <s v="Office Supplies"/>
    <n v="22.368000000000002"/>
    <n v="2"/>
    <n v="0.2"/>
    <n v="2.5163999999999991"/>
  </r>
  <r>
    <n v="2011"/>
    <n v="40703"/>
    <n v="40708"/>
    <x v="0"/>
    <x v="1"/>
    <x v="1"/>
    <s v="Furniture"/>
    <n v="48.86"/>
    <n v="7"/>
    <n v="0"/>
    <n v="14.169399999999996"/>
  </r>
  <r>
    <n v="2011"/>
    <n v="40703"/>
    <n v="40708"/>
    <x v="0"/>
    <x v="1"/>
    <x v="1"/>
    <s v="Office Supplies"/>
    <n v="7.28"/>
    <n v="4"/>
    <n v="0"/>
    <n v="1.9656000000000002"/>
  </r>
  <r>
    <n v="2011"/>
    <n v="40703"/>
    <n v="40708"/>
    <x v="0"/>
    <x v="1"/>
    <x v="1"/>
    <s v="Technology"/>
    <n v="907.15200000000004"/>
    <n v="6"/>
    <n v="0.2"/>
    <n v="90.715200000000038"/>
  </r>
  <r>
    <n v="2011"/>
    <n v="40703"/>
    <n v="40708"/>
    <x v="0"/>
    <x v="1"/>
    <x v="1"/>
    <s v="Office Supplies"/>
    <n v="18.504000000000001"/>
    <n v="3"/>
    <n v="0.2"/>
    <n v="5.7824999999999998"/>
  </r>
  <r>
    <n v="2011"/>
    <n v="40703"/>
    <n v="40708"/>
    <x v="0"/>
    <x v="1"/>
    <x v="1"/>
    <s v="Office Supplies"/>
    <n v="114.9"/>
    <n v="5"/>
    <n v="0"/>
    <n v="34.469999999999992"/>
  </r>
  <r>
    <n v="2011"/>
    <n v="40703"/>
    <n v="40708"/>
    <x v="0"/>
    <x v="1"/>
    <x v="1"/>
    <s v="Furniture"/>
    <n v="1706.1840000000002"/>
    <n v="9"/>
    <n v="0.2"/>
    <n v="85.309199999999805"/>
  </r>
  <r>
    <n v="2011"/>
    <n v="40703"/>
    <n v="40708"/>
    <x v="0"/>
    <x v="1"/>
    <x v="1"/>
    <s v="Technology"/>
    <n v="911.42399999999998"/>
    <n v="4"/>
    <n v="0.2"/>
    <n v="68.356800000000021"/>
  </r>
  <r>
    <n v="2014"/>
    <n v="41745"/>
    <n v="41750"/>
    <x v="0"/>
    <x v="3"/>
    <x v="0"/>
    <s v="Office Supplies"/>
    <n v="15.552000000000003"/>
    <n v="3"/>
    <n v="0.2"/>
    <n v="5.4432"/>
  </r>
  <r>
    <n v="2013"/>
    <n v="41614"/>
    <n v="41619"/>
    <x v="0"/>
    <x v="4"/>
    <x v="1"/>
    <s v="Office Supplies"/>
    <n v="407.97600000000006"/>
    <n v="3"/>
    <n v="0.2"/>
    <n v="132.59219999999993"/>
  </r>
  <r>
    <n v="2012"/>
    <n v="41235"/>
    <n v="41239"/>
    <x v="2"/>
    <x v="5"/>
    <x v="2"/>
    <s v="Office Supplies"/>
    <n v="68.809999999999988"/>
    <n v="5"/>
    <n v="0.8"/>
    <n v="-123.858"/>
  </r>
  <r>
    <n v="2012"/>
    <n v="41235"/>
    <n v="41239"/>
    <x v="2"/>
    <x v="5"/>
    <x v="2"/>
    <s v="Office Supplies"/>
    <n v="2.5439999999999996"/>
    <n v="3"/>
    <n v="0.8"/>
    <n v="-3.8160000000000016"/>
  </r>
  <r>
    <n v="2011"/>
    <n v="40858"/>
    <n v="40865"/>
    <x v="0"/>
    <x v="6"/>
    <x v="2"/>
    <s v="Office Supplies"/>
    <n v="665.88"/>
    <n v="6"/>
    <n v="0"/>
    <n v="13.317599999999999"/>
  </r>
  <r>
    <n v="2011"/>
    <n v="40676"/>
    <n v="40678"/>
    <x v="0"/>
    <x v="7"/>
    <x v="1"/>
    <s v="Office Supplies"/>
    <n v="55.5"/>
    <n v="2"/>
    <n v="0"/>
    <n v="9.9899999999999949"/>
  </r>
  <r>
    <n v="2011"/>
    <n v="40782"/>
    <n v="40787"/>
    <x v="0"/>
    <x v="1"/>
    <x v="1"/>
    <s v="Office Supplies"/>
    <n v="8.56"/>
    <n v="2"/>
    <n v="0"/>
    <n v="2.4823999999999993"/>
  </r>
  <r>
    <n v="2011"/>
    <n v="40782"/>
    <n v="40787"/>
    <x v="0"/>
    <x v="1"/>
    <x v="1"/>
    <s v="Technology"/>
    <n v="213.48000000000002"/>
    <n v="3"/>
    <n v="0.2"/>
    <n v="16.010999999999981"/>
  </r>
  <r>
    <n v="2011"/>
    <n v="40782"/>
    <n v="40787"/>
    <x v="0"/>
    <x v="1"/>
    <x v="1"/>
    <s v="Office Supplies"/>
    <n v="22.72"/>
    <n v="4"/>
    <n v="0.2"/>
    <n v="7.3839999999999986"/>
  </r>
  <r>
    <n v="2013"/>
    <n v="41618"/>
    <n v="41622"/>
    <x v="1"/>
    <x v="8"/>
    <x v="2"/>
    <s v="Office Supplies"/>
    <n v="19.459999999999997"/>
    <n v="7"/>
    <n v="0"/>
    <n v="5.0595999999999997"/>
  </r>
  <r>
    <n v="2013"/>
    <n v="41618"/>
    <n v="41622"/>
    <x v="1"/>
    <x v="8"/>
    <x v="2"/>
    <s v="Office Supplies"/>
    <n v="60.339999999999996"/>
    <n v="7"/>
    <n v="0"/>
    <n v="15.688400000000001"/>
  </r>
  <r>
    <n v="2014"/>
    <n v="41837"/>
    <n v="41839"/>
    <x v="0"/>
    <x v="9"/>
    <x v="3"/>
    <s v="Furniture"/>
    <n v="71.371999999999986"/>
    <n v="2"/>
    <n v="0.3"/>
    <n v="-1.0196000000000005"/>
  </r>
  <r>
    <n v="2012"/>
    <n v="41177"/>
    <n v="41182"/>
    <x v="0"/>
    <x v="7"/>
    <x v="1"/>
    <s v="Furniture"/>
    <n v="1044.6299999999999"/>
    <n v="3"/>
    <n v="0"/>
    <n v="240.26490000000001"/>
  </r>
  <r>
    <n v="2013"/>
    <n v="41290"/>
    <n v="41294"/>
    <x v="0"/>
    <x v="1"/>
    <x v="1"/>
    <s v="Office Supplies"/>
    <n v="11.648000000000001"/>
    <n v="2"/>
    <n v="0.2"/>
    <n v="4.2224000000000004"/>
  </r>
  <r>
    <n v="2013"/>
    <n v="41290"/>
    <n v="41294"/>
    <x v="0"/>
    <x v="1"/>
    <x v="1"/>
    <s v="Technology"/>
    <n v="90.570000000000007"/>
    <n v="3"/>
    <n v="0"/>
    <n v="11.774100000000004"/>
  </r>
  <r>
    <n v="2012"/>
    <n v="41169"/>
    <n v="41173"/>
    <x v="0"/>
    <x v="9"/>
    <x v="3"/>
    <s v="Furniture"/>
    <n v="3083.4300000000003"/>
    <n v="7"/>
    <n v="0.5"/>
    <n v="-1665.0522000000001"/>
  </r>
  <r>
    <n v="2012"/>
    <n v="41169"/>
    <n v="41173"/>
    <x v="0"/>
    <x v="9"/>
    <x v="3"/>
    <s v="Office Supplies"/>
    <n v="9.6180000000000021"/>
    <n v="2"/>
    <n v="0.7"/>
    <n v="-7.0532000000000004"/>
  </r>
  <r>
    <n v="2012"/>
    <n v="41169"/>
    <n v="41173"/>
    <x v="0"/>
    <x v="9"/>
    <x v="3"/>
    <s v="Furniture"/>
    <n v="124.20000000000002"/>
    <n v="3"/>
    <n v="0.2"/>
    <n v="15.524999999999991"/>
  </r>
  <r>
    <n v="2012"/>
    <n v="41169"/>
    <n v="41173"/>
    <x v="0"/>
    <x v="9"/>
    <x v="3"/>
    <s v="Office Supplies"/>
    <n v="3.2640000000000002"/>
    <n v="2"/>
    <n v="0.2"/>
    <n v="1.1015999999999997"/>
  </r>
  <r>
    <n v="2012"/>
    <n v="41169"/>
    <n v="41173"/>
    <x v="0"/>
    <x v="9"/>
    <x v="3"/>
    <s v="Office Supplies"/>
    <n v="86.304000000000002"/>
    <n v="6"/>
    <n v="0.2"/>
    <n v="9.7091999999999885"/>
  </r>
  <r>
    <n v="2012"/>
    <n v="41169"/>
    <n v="41173"/>
    <x v="0"/>
    <x v="9"/>
    <x v="3"/>
    <s v="Office Supplies"/>
    <n v="6.8580000000000014"/>
    <n v="6"/>
    <n v="0.7"/>
    <n v="-5.7149999999999999"/>
  </r>
  <r>
    <n v="2012"/>
    <n v="41169"/>
    <n v="41173"/>
    <x v="0"/>
    <x v="9"/>
    <x v="3"/>
    <s v="Office Supplies"/>
    <n v="15.76"/>
    <n v="2"/>
    <n v="0.2"/>
    <n v="3.5460000000000007"/>
  </r>
  <r>
    <n v="2014"/>
    <n v="41932"/>
    <n v="41936"/>
    <x v="2"/>
    <x v="5"/>
    <x v="2"/>
    <s v="Office Supplies"/>
    <n v="29.472000000000001"/>
    <n v="3"/>
    <n v="0.2"/>
    <n v="9.9467999999999979"/>
  </r>
  <r>
    <n v="2013"/>
    <n v="41617"/>
    <n v="41619"/>
    <x v="1"/>
    <x v="5"/>
    <x v="2"/>
    <s v="Technology"/>
    <n v="1097.5440000000003"/>
    <n v="7"/>
    <n v="0.2"/>
    <n v="123.47369999999989"/>
  </r>
  <r>
    <n v="2013"/>
    <n v="41617"/>
    <n v="41619"/>
    <x v="1"/>
    <x v="5"/>
    <x v="2"/>
    <s v="Furniture"/>
    <n v="190.92"/>
    <n v="5"/>
    <n v="0.6"/>
    <n v="-147.96300000000002"/>
  </r>
  <r>
    <n v="2012"/>
    <n v="41270"/>
    <n v="41274"/>
    <x v="2"/>
    <x v="5"/>
    <x v="2"/>
    <s v="Office Supplies"/>
    <n v="113.328"/>
    <n v="9"/>
    <n v="0.2"/>
    <n v="35.414999999999999"/>
  </r>
  <r>
    <n v="2012"/>
    <n v="41270"/>
    <n v="41274"/>
    <x v="2"/>
    <x v="5"/>
    <x v="2"/>
    <s v="Furniture"/>
    <n v="532.39919999999995"/>
    <n v="3"/>
    <n v="0.32"/>
    <n v="-46.976400000000012"/>
  </r>
  <r>
    <n v="2012"/>
    <n v="41270"/>
    <n v="41274"/>
    <x v="2"/>
    <x v="5"/>
    <x v="2"/>
    <s v="Furniture"/>
    <n v="212.05799999999999"/>
    <n v="3"/>
    <n v="0.3"/>
    <n v="-15.146999999999991"/>
  </r>
  <r>
    <n v="2012"/>
    <n v="41270"/>
    <n v="41274"/>
    <x v="2"/>
    <x v="5"/>
    <x v="2"/>
    <s v="Technology"/>
    <n v="371.16800000000001"/>
    <n v="4"/>
    <n v="0.2"/>
    <n v="41.756399999999957"/>
  </r>
  <r>
    <n v="2014"/>
    <n v="41893"/>
    <n v="41898"/>
    <x v="1"/>
    <x v="10"/>
    <x v="2"/>
    <s v="Technology"/>
    <n v="147.16800000000001"/>
    <n v="4"/>
    <n v="0.2"/>
    <n v="16.556399999999996"/>
  </r>
  <r>
    <n v="2013"/>
    <n v="41473"/>
    <n v="41478"/>
    <x v="1"/>
    <x v="1"/>
    <x v="1"/>
    <s v="Office Supplies"/>
    <n v="77.88"/>
    <n v="2"/>
    <n v="0"/>
    <n v="3.8939999999999912"/>
  </r>
  <r>
    <n v="2014"/>
    <n v="41902"/>
    <n v="41906"/>
    <x v="1"/>
    <x v="2"/>
    <x v="0"/>
    <s v="Office Supplies"/>
    <n v="95.616"/>
    <n v="2"/>
    <n v="0.2"/>
    <n v="9.5616000000000092"/>
  </r>
  <r>
    <n v="2013"/>
    <n v="41345"/>
    <n v="41347"/>
    <x v="1"/>
    <x v="11"/>
    <x v="2"/>
    <s v="Technology"/>
    <n v="45.98"/>
    <n v="2"/>
    <n v="0"/>
    <n v="19.7714"/>
  </r>
  <r>
    <n v="2013"/>
    <n v="41345"/>
    <n v="41347"/>
    <x v="1"/>
    <x v="11"/>
    <x v="2"/>
    <s v="Office Supplies"/>
    <n v="17.46"/>
    <n v="2"/>
    <n v="0"/>
    <n v="8.2061999999999991"/>
  </r>
  <r>
    <n v="2011"/>
    <n v="40836"/>
    <n v="40841"/>
    <x v="0"/>
    <x v="12"/>
    <x v="2"/>
    <s v="Office Supplies"/>
    <n v="211.96"/>
    <n v="4"/>
    <n v="0"/>
    <n v="8.4783999999999935"/>
  </r>
  <r>
    <n v="2013"/>
    <n v="41446"/>
    <n v="41451"/>
    <x v="0"/>
    <x v="13"/>
    <x v="3"/>
    <s v="Technology"/>
    <n v="45"/>
    <n v="3"/>
    <n v="0"/>
    <n v="4.9500000000000011"/>
  </r>
  <r>
    <n v="2013"/>
    <n v="41446"/>
    <n v="41451"/>
    <x v="0"/>
    <x v="13"/>
    <x v="3"/>
    <s v="Technology"/>
    <n v="21.8"/>
    <n v="2"/>
    <n v="0"/>
    <n v="6.104000000000001"/>
  </r>
  <r>
    <n v="2012"/>
    <n v="41017"/>
    <n v="41021"/>
    <x v="0"/>
    <x v="14"/>
    <x v="2"/>
    <s v="Office Supplies"/>
    <n v="38.22"/>
    <n v="6"/>
    <n v="0"/>
    <n v="17.9634"/>
  </r>
  <r>
    <n v="2012"/>
    <n v="41017"/>
    <n v="41021"/>
    <x v="0"/>
    <x v="14"/>
    <x v="2"/>
    <s v="Office Supplies"/>
    <n v="75.179999999999993"/>
    <n v="6"/>
    <n v="0"/>
    <n v="35.334599999999995"/>
  </r>
  <r>
    <n v="2012"/>
    <n v="41017"/>
    <n v="41021"/>
    <x v="0"/>
    <x v="14"/>
    <x v="2"/>
    <s v="Furniture"/>
    <n v="6.16"/>
    <n v="2"/>
    <n v="0"/>
    <n v="2.9567999999999999"/>
  </r>
  <r>
    <n v="2012"/>
    <n v="41017"/>
    <n v="41021"/>
    <x v="0"/>
    <x v="14"/>
    <x v="2"/>
    <s v="Furniture"/>
    <n v="89.99"/>
    <n v="1"/>
    <n v="0"/>
    <n v="17.098099999999988"/>
  </r>
  <r>
    <n v="2013"/>
    <n v="41620"/>
    <n v="41626"/>
    <x v="1"/>
    <x v="15"/>
    <x v="3"/>
    <s v="Office Supplies"/>
    <n v="15.260000000000002"/>
    <n v="7"/>
    <n v="0"/>
    <n v="6.2566000000000006"/>
  </r>
  <r>
    <n v="2013"/>
    <n v="41620"/>
    <n v="41626"/>
    <x v="1"/>
    <x v="15"/>
    <x v="3"/>
    <s v="Technology"/>
    <n v="1029.95"/>
    <n v="5"/>
    <n v="0"/>
    <n v="298.68549999999999"/>
  </r>
  <r>
    <n v="2013"/>
    <n v="41443"/>
    <n v="41444"/>
    <x v="0"/>
    <x v="15"/>
    <x v="3"/>
    <s v="Office Supplies"/>
    <n v="208.56"/>
    <n v="6"/>
    <n v="0"/>
    <n v="52.139999999999986"/>
  </r>
  <r>
    <n v="2013"/>
    <n v="41443"/>
    <n v="41444"/>
    <x v="0"/>
    <x v="15"/>
    <x v="3"/>
    <s v="Office Supplies"/>
    <n v="32.400000000000006"/>
    <n v="5"/>
    <n v="0"/>
    <n v="15.552000000000001"/>
  </r>
  <r>
    <n v="2013"/>
    <n v="41443"/>
    <n v="41444"/>
    <x v="0"/>
    <x v="15"/>
    <x v="3"/>
    <s v="Furniture"/>
    <n v="319.41000000000003"/>
    <n v="5"/>
    <n v="0.1"/>
    <n v="7.0980000000000061"/>
  </r>
  <r>
    <n v="2013"/>
    <n v="41443"/>
    <n v="41444"/>
    <x v="0"/>
    <x v="15"/>
    <x v="3"/>
    <s v="Office Supplies"/>
    <n v="14.56"/>
    <n v="2"/>
    <n v="0"/>
    <n v="6.9888000000000003"/>
  </r>
  <r>
    <n v="2013"/>
    <n v="41443"/>
    <n v="41444"/>
    <x v="0"/>
    <x v="15"/>
    <x v="3"/>
    <s v="Technology"/>
    <n v="30"/>
    <n v="2"/>
    <n v="0"/>
    <n v="3.3000000000000007"/>
  </r>
  <r>
    <n v="2013"/>
    <n v="41443"/>
    <n v="41444"/>
    <x v="0"/>
    <x v="15"/>
    <x v="3"/>
    <s v="Office Supplies"/>
    <n v="48.480000000000004"/>
    <n v="4"/>
    <n v="0.2"/>
    <n v="16.361999999999998"/>
  </r>
  <r>
    <n v="2013"/>
    <n v="41443"/>
    <n v="41444"/>
    <x v="0"/>
    <x v="15"/>
    <x v="3"/>
    <s v="Office Supplies"/>
    <n v="1.68"/>
    <n v="1"/>
    <n v="0"/>
    <n v="0.84"/>
  </r>
  <r>
    <n v="2012"/>
    <n v="41237"/>
    <n v="41243"/>
    <x v="0"/>
    <x v="1"/>
    <x v="1"/>
    <s v="Technology"/>
    <n v="13.98"/>
    <n v="2"/>
    <n v="0"/>
    <n v="6.1512000000000011"/>
  </r>
  <r>
    <n v="2012"/>
    <n v="41237"/>
    <n v="41243"/>
    <x v="0"/>
    <x v="1"/>
    <x v="1"/>
    <s v="Office Supplies"/>
    <n v="25.824000000000002"/>
    <n v="6"/>
    <n v="0.2"/>
    <n v="9.3612000000000002"/>
  </r>
  <r>
    <n v="2012"/>
    <n v="41237"/>
    <n v="41243"/>
    <x v="0"/>
    <x v="1"/>
    <x v="1"/>
    <s v="Office Supplies"/>
    <n v="146.72999999999999"/>
    <n v="3"/>
    <n v="0"/>
    <n v="68.963099999999997"/>
  </r>
  <r>
    <n v="2012"/>
    <n v="41237"/>
    <n v="41243"/>
    <x v="0"/>
    <x v="1"/>
    <x v="1"/>
    <s v="Furniture"/>
    <n v="79.760000000000005"/>
    <n v="4"/>
    <n v="0"/>
    <n v="22.332800000000006"/>
  </r>
  <r>
    <n v="2012"/>
    <n v="41029"/>
    <n v="41034"/>
    <x v="2"/>
    <x v="10"/>
    <x v="2"/>
    <s v="Furniture"/>
    <n v="213.11499999999998"/>
    <n v="5"/>
    <n v="0.3"/>
    <n v="-15.222500000000011"/>
  </r>
  <r>
    <n v="2011"/>
    <n v="40882"/>
    <n v="40887"/>
    <x v="1"/>
    <x v="16"/>
    <x v="1"/>
    <s v="Office Supplies"/>
    <n v="1113.0240000000001"/>
    <n v="8"/>
    <n v="0.2"/>
    <n v="111.30239999999998"/>
  </r>
  <r>
    <n v="2011"/>
    <n v="40882"/>
    <n v="40887"/>
    <x v="1"/>
    <x v="16"/>
    <x v="1"/>
    <s v="Technology"/>
    <n v="167.96800000000002"/>
    <n v="4"/>
    <n v="0.2"/>
    <n v="62.988"/>
  </r>
  <r>
    <n v="2013"/>
    <n v="41430"/>
    <n v="41432"/>
    <x v="0"/>
    <x v="17"/>
    <x v="0"/>
    <s v="Office Supplies"/>
    <n v="75.88"/>
    <n v="2"/>
    <n v="0"/>
    <n v="35.663599999999995"/>
  </r>
  <r>
    <n v="2013"/>
    <n v="41536"/>
    <n v="41541"/>
    <x v="0"/>
    <x v="15"/>
    <x v="3"/>
    <s v="Office Supplies"/>
    <n v="4.6159999999999997"/>
    <n v="1"/>
    <n v="0.2"/>
    <n v="1.7309999999999999"/>
  </r>
  <r>
    <n v="2014"/>
    <n v="41897"/>
    <n v="41900"/>
    <x v="0"/>
    <x v="12"/>
    <x v="2"/>
    <s v="Office Supplies"/>
    <n v="19.049999999999997"/>
    <n v="3"/>
    <n v="0"/>
    <n v="8.7629999999999999"/>
  </r>
  <r>
    <n v="2012"/>
    <n v="41025"/>
    <n v="41031"/>
    <x v="0"/>
    <x v="18"/>
    <x v="0"/>
    <s v="Furniture"/>
    <n v="831.93600000000015"/>
    <n v="8"/>
    <n v="0.2"/>
    <n v="-114.39120000000003"/>
  </r>
  <r>
    <n v="2012"/>
    <n v="41025"/>
    <n v="41031"/>
    <x v="0"/>
    <x v="18"/>
    <x v="0"/>
    <s v="Furniture"/>
    <n v="97.04"/>
    <n v="2"/>
    <n v="0.2"/>
    <n v="1.2129999999999974"/>
  </r>
  <r>
    <n v="2012"/>
    <n v="41025"/>
    <n v="41031"/>
    <x v="0"/>
    <x v="18"/>
    <x v="0"/>
    <s v="Office Supplies"/>
    <n v="72.784000000000006"/>
    <n v="1"/>
    <n v="0.2"/>
    <n v="-18.196000000000002"/>
  </r>
  <r>
    <n v="2014"/>
    <n v="41983"/>
    <n v="41985"/>
    <x v="1"/>
    <x v="5"/>
    <x v="2"/>
    <s v="Office Supplies"/>
    <n v="1.2479999999999998"/>
    <n v="3"/>
    <n v="0.8"/>
    <n v="-1.9344000000000006"/>
  </r>
  <r>
    <n v="2014"/>
    <n v="41983"/>
    <n v="41985"/>
    <x v="1"/>
    <x v="5"/>
    <x v="2"/>
    <s v="Furniture"/>
    <n v="9.7080000000000002"/>
    <n v="3"/>
    <n v="0.6"/>
    <n v="-5.8248000000000015"/>
  </r>
  <r>
    <n v="2014"/>
    <n v="41983"/>
    <n v="41985"/>
    <x v="1"/>
    <x v="5"/>
    <x v="2"/>
    <s v="Office Supplies"/>
    <n v="27.240000000000002"/>
    <n v="3"/>
    <n v="0.2"/>
    <n v="2.724000000000002"/>
  </r>
  <r>
    <n v="2011"/>
    <n v="40873"/>
    <n v="40878"/>
    <x v="0"/>
    <x v="5"/>
    <x v="2"/>
    <s v="Furniture"/>
    <n v="19.3"/>
    <n v="5"/>
    <n v="0.6"/>
    <n v="-14.475000000000001"/>
  </r>
  <r>
    <n v="2013"/>
    <n v="41438"/>
    <n v="41441"/>
    <x v="1"/>
    <x v="19"/>
    <x v="0"/>
    <s v="Office Supplies"/>
    <n v="208.16"/>
    <n v="1"/>
    <n v="0"/>
    <n v="56.20320000000001"/>
  </r>
  <r>
    <n v="2013"/>
    <n v="41438"/>
    <n v="41441"/>
    <x v="1"/>
    <x v="19"/>
    <x v="0"/>
    <s v="Office Supplies"/>
    <n v="16.740000000000002"/>
    <n v="3"/>
    <n v="0"/>
    <n v="8.0351999999999997"/>
  </r>
  <r>
    <n v="2011"/>
    <n v="40828"/>
    <n v="40832"/>
    <x v="0"/>
    <x v="1"/>
    <x v="1"/>
    <s v="Office Supplies"/>
    <n v="14.9"/>
    <n v="5"/>
    <n v="0"/>
    <n v="4.1720000000000006"/>
  </r>
  <r>
    <n v="2011"/>
    <n v="40828"/>
    <n v="40832"/>
    <x v="0"/>
    <x v="1"/>
    <x v="1"/>
    <s v="Office Supplies"/>
    <n v="21.39"/>
    <n v="1"/>
    <n v="0"/>
    <n v="6.2030999999999992"/>
  </r>
  <r>
    <n v="2012"/>
    <n v="41155"/>
    <n v="41160"/>
    <x v="1"/>
    <x v="3"/>
    <x v="0"/>
    <s v="Office Supplies"/>
    <n v="200.98400000000004"/>
    <n v="7"/>
    <n v="0.2"/>
    <n v="62.807499999999976"/>
  </r>
  <r>
    <n v="2014"/>
    <n v="41957"/>
    <n v="41960"/>
    <x v="2"/>
    <x v="10"/>
    <x v="2"/>
    <s v="Office Supplies"/>
    <n v="230.376"/>
    <n v="3"/>
    <n v="0.2"/>
    <n v="-48.954900000000002"/>
  </r>
  <r>
    <n v="2014"/>
    <n v="41788"/>
    <n v="41790"/>
    <x v="0"/>
    <x v="20"/>
    <x v="0"/>
    <s v="Furniture"/>
    <n v="301.95999999999998"/>
    <n v="2"/>
    <n v="0"/>
    <n v="33.215599999999995"/>
  </r>
  <r>
    <n v="2014"/>
    <n v="41939"/>
    <n v="41946"/>
    <x v="0"/>
    <x v="11"/>
    <x v="2"/>
    <s v="Technology"/>
    <n v="19.989999999999998"/>
    <n v="1"/>
    <n v="0"/>
    <n v="6.796599999999998"/>
  </r>
  <r>
    <n v="2014"/>
    <n v="41939"/>
    <n v="41946"/>
    <x v="0"/>
    <x v="11"/>
    <x v="2"/>
    <s v="Office Supplies"/>
    <n v="6.16"/>
    <n v="2"/>
    <n v="0"/>
    <n v="2.9567999999999999"/>
  </r>
  <r>
    <n v="2013"/>
    <n v="41370"/>
    <n v="41375"/>
    <x v="2"/>
    <x v="5"/>
    <x v="2"/>
    <s v="Office Supplies"/>
    <n v="158.36800000000002"/>
    <n v="7"/>
    <n v="0.2"/>
    <n v="13.857199999999999"/>
  </r>
  <r>
    <n v="2013"/>
    <n v="41535"/>
    <n v="41540"/>
    <x v="1"/>
    <x v="1"/>
    <x v="1"/>
    <s v="Office Supplies"/>
    <n v="20.100000000000001"/>
    <n v="3"/>
    <n v="0"/>
    <n v="6.6329999999999982"/>
  </r>
  <r>
    <n v="2013"/>
    <n v="41535"/>
    <n v="41540"/>
    <x v="1"/>
    <x v="1"/>
    <x v="1"/>
    <s v="Technology"/>
    <n v="73.584000000000003"/>
    <n v="2"/>
    <n v="0.2"/>
    <n v="8.2781999999999982"/>
  </r>
  <r>
    <n v="2013"/>
    <n v="41535"/>
    <n v="41540"/>
    <x v="1"/>
    <x v="1"/>
    <x v="1"/>
    <s v="Office Supplies"/>
    <n v="6.48"/>
    <n v="1"/>
    <n v="0"/>
    <n v="3.1104000000000003"/>
  </r>
  <r>
    <n v="2012"/>
    <n v="40939"/>
    <n v="40944"/>
    <x v="0"/>
    <x v="11"/>
    <x v="2"/>
    <s v="Office Supplies"/>
    <n v="12.96"/>
    <n v="2"/>
    <n v="0"/>
    <n v="6.2208000000000006"/>
  </r>
  <r>
    <n v="2012"/>
    <n v="40939"/>
    <n v="40944"/>
    <x v="0"/>
    <x v="11"/>
    <x v="2"/>
    <s v="Furniture"/>
    <n v="53.34"/>
    <n v="3"/>
    <n v="0"/>
    <n v="16.535399999999996"/>
  </r>
  <r>
    <n v="2012"/>
    <n v="40939"/>
    <n v="40944"/>
    <x v="0"/>
    <x v="11"/>
    <x v="2"/>
    <s v="Office Supplies"/>
    <n v="32.96"/>
    <n v="2"/>
    <n v="0"/>
    <n v="16.150400000000001"/>
  </r>
  <r>
    <n v="2014"/>
    <n v="41950"/>
    <n v="41956"/>
    <x v="2"/>
    <x v="21"/>
    <x v="1"/>
    <s v="Office Supplies"/>
    <n v="5.6820000000000013"/>
    <n v="1"/>
    <n v="0.7"/>
    <n v="-3.7880000000000003"/>
  </r>
  <r>
    <n v="2014"/>
    <n v="41953"/>
    <n v="41955"/>
    <x v="2"/>
    <x v="15"/>
    <x v="3"/>
    <s v="Furniture"/>
    <n v="96.53"/>
    <n v="7"/>
    <n v="0"/>
    <n v="40.5426"/>
  </r>
  <r>
    <n v="2014"/>
    <n v="41808"/>
    <n v="41811"/>
    <x v="0"/>
    <x v="1"/>
    <x v="1"/>
    <s v="Office Supplies"/>
    <n v="51.311999999999998"/>
    <n v="3"/>
    <n v="0.2"/>
    <n v="17.959199999999999"/>
  </r>
  <r>
    <n v="2013"/>
    <n v="41524"/>
    <n v="41529"/>
    <x v="1"/>
    <x v="11"/>
    <x v="2"/>
    <s v="Office Supplies"/>
    <n v="77.88"/>
    <n v="6"/>
    <n v="0"/>
    <n v="22.585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ABC3F4-3918-4C60-94B2-4F77EA259D5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C25" firstHeaderRow="0" firstDataRow="1" firstDataCol="1"/>
  <pivotFields count="11">
    <pivotField compact="0" outline="0" showAll="0"/>
    <pivotField compact="0" outline="0" showAll="0"/>
    <pivotField compact="0" outline="0" showAll="0"/>
    <pivotField compact="0" outline="0" showAll="0"/>
    <pivotField axis="axisRow" compact="0" outline="0" showAll="0" sortType="descending">
      <items count="23">
        <item x="19"/>
        <item x="16"/>
        <item x="1"/>
        <item x="13"/>
        <item x="2"/>
        <item x="10"/>
        <item x="14"/>
        <item x="0"/>
        <item x="12"/>
        <item x="11"/>
        <item x="8"/>
        <item x="15"/>
        <item x="3"/>
        <item x="21"/>
        <item x="9"/>
        <item x="20"/>
        <item x="18"/>
        <item x="5"/>
        <item x="7"/>
        <item x="17"/>
        <item x="4"/>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dataField="1" compact="0" outline="0" showAll="0"/>
  </pivotFields>
  <rowFields count="1">
    <field x="4"/>
  </rowFields>
  <rowItems count="23">
    <i>
      <x v="2"/>
    </i>
    <i>
      <x v="11"/>
    </i>
    <i>
      <x v="7"/>
    </i>
    <i>
      <x v="18"/>
    </i>
    <i>
      <x v="1"/>
    </i>
    <i>
      <x v="20"/>
    </i>
    <i>
      <x v="9"/>
    </i>
    <i>
      <x v="6"/>
    </i>
    <i>
      <x v="12"/>
    </i>
    <i>
      <x/>
    </i>
    <i>
      <x v="19"/>
    </i>
    <i>
      <x v="15"/>
    </i>
    <i>
      <x v="10"/>
    </i>
    <i>
      <x v="8"/>
    </i>
    <i>
      <x v="21"/>
    </i>
    <i>
      <x v="3"/>
    </i>
    <i>
      <x v="13"/>
    </i>
    <i>
      <x v="5"/>
    </i>
    <i>
      <x v="16"/>
    </i>
    <i>
      <x v="17"/>
    </i>
    <i>
      <x v="4"/>
    </i>
    <i>
      <x v="14"/>
    </i>
    <i t="grand">
      <x/>
    </i>
  </rowItems>
  <colFields count="1">
    <field x="-2"/>
  </colFields>
  <colItems count="2">
    <i>
      <x/>
    </i>
    <i i="1">
      <x v="1"/>
    </i>
  </colItems>
  <dataFields count="2">
    <dataField name="Sum of Profit" fld="10" baseField="0" baseItem="0"/>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2FC3E-E117-4EF4-865A-3067225B373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6" firstHeaderRow="1" firstDataRow="1" firstDataCol="1"/>
  <pivotFields count="11">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4">
    <i>
      <x/>
    </i>
    <i>
      <x v="2"/>
    </i>
    <i>
      <x v="1"/>
    </i>
    <i t="grand">
      <x/>
    </i>
  </rowItems>
  <colItems count="1">
    <i/>
  </colItems>
  <dataFields count="1">
    <dataField name="Sum of Discount" fld="9"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2F121A-C4B6-463A-AE6C-118BB223E86B}"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6" firstHeaderRow="1" firstDataRow="1" firstDataCol="1"/>
  <pivotFields count="11">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3"/>
  </rowFields>
  <rowItems count="4">
    <i>
      <x/>
    </i>
    <i>
      <x v="1"/>
    </i>
    <i>
      <x v="2"/>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F44810-94DF-4A93-8A10-E50EE90716B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4:G10" firstHeaderRow="1" firstDataRow="2" firstDataCol="1"/>
  <pivotFields count="11">
    <pivotField compact="0" outline="0" showAll="0"/>
    <pivotField compact="0" outline="0" showAll="0"/>
    <pivotField compact="0" outline="0" showAll="0"/>
    <pivotField axis="axisCol" compact="0" outline="0" showAll="0" sortType="descending">
      <items count="4">
        <item x="2"/>
        <item x="1"/>
        <item x="0"/>
        <item t="default"/>
      </items>
    </pivotField>
    <pivotField compact="0" outline="0" showAll="0"/>
    <pivotField axis="axisRow" dataField="1"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s>
  <rowFields count="1">
    <field x="5"/>
  </rowFields>
  <rowItems count="5">
    <i>
      <x/>
    </i>
    <i>
      <x v="1"/>
    </i>
    <i>
      <x v="2"/>
    </i>
    <i>
      <x v="3"/>
    </i>
    <i t="grand">
      <x/>
    </i>
  </rowItems>
  <colFields count="1">
    <field x="3"/>
  </colFields>
  <colItems count="4">
    <i>
      <x/>
    </i>
    <i>
      <x v="1"/>
    </i>
    <i>
      <x v="2"/>
    </i>
    <i t="grand">
      <x/>
    </i>
  </colItems>
  <dataFields count="1">
    <dataField name="Count of Region" fld="5" subtotal="count" baseField="0" baseItem="0"/>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F625DA-FBD0-452B-8B6D-8D7F5B66239E}" name="Table1" displayName="Table1" ref="A1:E11" totalsRowShown="0">
  <autoFilter ref="A1:E11" xr:uid="{BBF625DA-FBD0-452B-8B6D-8D7F5B66239E}"/>
  <tableColumns count="5">
    <tableColumn id="1" xr3:uid="{46D34AA9-E6DC-4F08-BC1E-D1C1D79515F2}" name="Timeline"/>
    <tableColumn id="2" xr3:uid="{A6A4F377-1C46-4E08-998A-502788291003}" name="Values"/>
    <tableColumn id="3" xr3:uid="{FF87E41D-29F2-4F8C-8518-7CBF2CB8CAD2}" name="Forecast">
      <calculatedColumnFormula>_xlfn.FORECAST.ETS(A2,$B$2:$B$5,$A$2:$A$5,1,1)</calculatedColumnFormula>
    </tableColumn>
    <tableColumn id="4" xr3:uid="{1C96B5B3-4D37-4A7B-9838-B125F6F921F3}" name="Lower Confidence Bound" dataDxfId="3">
      <calculatedColumnFormula>C2-_xlfn.FORECAST.ETS.CONFINT(A2,$B$2:$B$5,$A$2:$A$5,0.95,1,1)</calculatedColumnFormula>
    </tableColumn>
    <tableColumn id="5" xr3:uid="{652AFABE-84A8-45E0-BA7D-892C953CB9F1}" name="Upper Confidence Bound" dataDxfId="2">
      <calculatedColumnFormula>C2+_xlfn.FORECAST.ETS.CONFINT(A2,$B$2:$B$5,$A$2:$A$5,0.95,1,1)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4B9795-6FDE-4766-9BEE-B1A7F7A3197C}" name="Table2" displayName="Table2" ref="A1:E11" totalsRowShown="0">
  <autoFilter ref="A1:E11" xr:uid="{1C4B9795-6FDE-4766-9BEE-B1A7F7A3197C}"/>
  <tableColumns count="5">
    <tableColumn id="1" xr3:uid="{9B0A5AD8-0C33-4A49-98C1-4BD946B25828}" name="Year"/>
    <tableColumn id="2" xr3:uid="{41175207-82B6-4A84-83DA-B7F01A6D6520}" name="Pop count"/>
    <tableColumn id="3" xr3:uid="{1FC53655-BA68-46EC-BE53-6CA9CBC86368}" name="Forecast(Pop count)">
      <calculatedColumnFormula>_xlfn.FORECAST.ETS(A2,$B$2:$B$6,$A$2:$A$6,1,1)</calculatedColumnFormula>
    </tableColumn>
    <tableColumn id="4" xr3:uid="{8F1C1FF5-F4DF-4952-ABC3-AB622D886029}" name="Lower Confidence Bound(Pop count)" dataDxfId="1">
      <calculatedColumnFormula>C2-_xlfn.FORECAST.ETS.CONFINT(A2,$B$2:$B$6,$A$2:$A$6,0.95,1,1)</calculatedColumnFormula>
    </tableColumn>
    <tableColumn id="5" xr3:uid="{7AF6CA77-5538-428B-BBC0-152E296DFCB3}" name="Upper Confidence Bound(Pop count)" dataDxfId="0">
      <calculatedColumnFormula>C2+_xlfn.FORECAST.ETS.CONFINT(A2,$B$2:$B$6,$A$2:$A$6,0.95,1,1)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6.xml"/><Relationship Id="rId2" Type="http://schemas.microsoft.com/office/2011/relationships/webextension" Target="webextension5.xml"/><Relationship Id="rId1" Type="http://schemas.microsoft.com/office/2011/relationships/webextension" Target="webextension4.xml"/><Relationship Id="rId5" Type="http://schemas.microsoft.com/office/2011/relationships/webextension" Target="webextension8.xml"/><Relationship Id="rId4" Type="http://schemas.microsoft.com/office/2011/relationships/webextension" Target="webextension7.xml"/></Relationships>
</file>

<file path=xl/webextensions/_rels/webextension1.xml.rels><?xml version="1.0" encoding="UTF-8" standalone="yes"?>
<Relationships xmlns="http://schemas.openxmlformats.org/package/2006/relationships"><Relationship Id="rId1" Type="http://schemas.openxmlformats.org/officeDocument/2006/relationships/image" Target="../media/image2.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3.png"/></Relationships>
</file>

<file path=xl/webextensions/_rels/webextension3.xml.rels><?xml version="1.0" encoding="UTF-8" standalone="yes"?>
<Relationships xmlns="http://schemas.openxmlformats.org/package/2006/relationships"><Relationship Id="rId1" Type="http://schemas.openxmlformats.org/officeDocument/2006/relationships/image" Target="../media/image4.png"/></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9">
    <wetp:webextensionref xmlns:r="http://schemas.openxmlformats.org/officeDocument/2006/relationships" r:id="rId2"/>
  </wetp:taskpane>
  <wetp:taskpane dockstate="right" visibility="0" width="350" row="10">
    <wetp:webextensionref xmlns:r="http://schemas.openxmlformats.org/officeDocument/2006/relationships" r:id="rId3"/>
  </wetp:taskpane>
  <wetp:taskpane dockstate="right" visibility="0" width="350" row="11">
    <wetp:webextensionref xmlns:r="http://schemas.openxmlformats.org/officeDocument/2006/relationships" r:id="rId4"/>
  </wetp:taskpane>
  <wetp:taskpane dockstate="right" visibility="0" width="350" row="5">
    <wetp:webextensionref xmlns:r="http://schemas.openxmlformats.org/officeDocument/2006/relationships" r:id="rId5"/>
  </wetp:taskpane>
</wetp:taskpanes>
</file>

<file path=xl/webextensions/webextension1.xml><?xml version="1.0" encoding="utf-8"?>
<we:webextension xmlns:we="http://schemas.microsoft.com/office/webextensions/webextension/2010/11" id="{7EFA8957-B67E-0C6E-1CDE-2D9B50DCECFA}">
  <we:reference id="wa104104476" version="1.6.0.0" store="en-US" storeType="OMEX"/>
  <we:alternateReferences>
    <we:reference id="WA104104476" version="1.6.0.0" store="" storeType="OMEX"/>
  </we:alternateReferences>
  <we:properties>
    <we:property name="sku" value="&quot;peoplebar-giant&quot;"/>
    <we:property name="theme" value="&quot;giant-redwhiteblack&quot;"/>
    <we:property name="shape" value="&quot;muscle-people&quot;"/>
    <we:property name="layout-element-title" value="&quot;NUMBERS ABOUT THE APP&quot;"/>
  </we:properties>
  <we:bindings>
    <we:binding id="dataVizBinding" type="matrix" appref="{3405F1E3-87F9-4B85-9757-6BD5435BF848}"/>
  </we:bindings>
  <we:snapshot xmlns:r="http://schemas.openxmlformats.org/officeDocument/2006/relationships" r:embed="rId1"/>
</we:webextension>
</file>

<file path=xl/webextensions/webextension2.xml><?xml version="1.0" encoding="utf-8"?>
<we:webextension xmlns:we="http://schemas.microsoft.com/office/webextensions/webextension/2010/11" id="{3AA944BE-7FED-BC6A-EE2B-3FF36BE903B8}">
  <we:reference id="wa102957665" version="1.3.0.0" store="en-US" storeType="OMEX"/>
  <we:alternateReferences>
    <we:reference id="WA102957665" version="1.3.0.0" store="" storeType="OMEX"/>
  </we:alternateReferences>
  <we:properties>
    <we:property name="opt_cal_sys" value="1"/>
    <we:property name="opt_wn" value="false"/>
    <we:property name="opt_theme" value="1"/>
    <we:property name="opt_size" value="0"/>
    <we:property name="opt_confirm" value="true"/>
    <we:property name="opt_month" value="&quot;2024-05-01&quot;"/>
  </we:properties>
  <we:bindings/>
  <we:snapshot xmlns:r="http://schemas.openxmlformats.org/officeDocument/2006/relationships" r:embed="rId1"/>
</we:webextension>
</file>

<file path=xl/webextensions/webextension3.xml><?xml version="1.0" encoding="utf-8"?>
<we:webextension xmlns:we="http://schemas.microsoft.com/office/webextensions/webextension/2010/11" id="{0841943F-0095-30BD-9AE1-B17BE91CE122}">
  <we:reference id="wa102957661" version="1.7.0.0" store="en-US" storeType="OMEX"/>
  <we:alternateReferences>
    <we:reference id="WA102957661" version="1.7.0.0" store="" storeType="OMEX"/>
  </we:alternateReferences>
  <we:properties>
    <we:property name="color" value="[&quot;#00b4FF&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mapType" value="&quot;road&quot;"/>
    <we:property name="pointType" value="&quot;pie&quot;"/>
    <we:property name="showLegend" value="&quot;show&quot;"/>
  </we:properties>
  <we:bindings>
    <we:binding id="Locations" type="matrix" appref="{964A9100-146A-405F-B40E-91278530B441}"/>
  </we:bindings>
  <we:snapshot xmlns:r="http://schemas.openxmlformats.org/officeDocument/2006/relationships" r:embed="rId1"/>
</we:webextension>
</file>

<file path=xl/webextensions/webextension4.xml><?xml version="1.0" encoding="utf-8"?>
<we:webextension xmlns:we="http://schemas.microsoft.com/office/webextensions/webextension/2010/11" id="{9F9DEE64-A305-4598-96BA-B4BC0C6BDC60}">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5.xml><?xml version="1.0" encoding="utf-8"?>
<we:webextension xmlns:we="http://schemas.microsoft.com/office/webextensions/webextension/2010/11" id="{D44BBE59-4BA4-44E9-8FFC-C096951AAC8C}">
  <we:reference id="wa200005281" version="1.0.0.0" store="en-US" storeType="OMEX"/>
  <we:alternateReferences>
    <we:reference id="wa200005281" version="1.0.0.0" store="wa200005281" storeType="OMEX"/>
  </we:alternateReferences>
  <we:properties/>
  <we:bindings/>
  <we:snapshot xmlns:r="http://schemas.openxmlformats.org/officeDocument/2006/relationships"/>
</we:webextension>
</file>

<file path=xl/webextensions/webextension6.xml><?xml version="1.0" encoding="utf-8"?>
<we:webextension xmlns:we="http://schemas.microsoft.com/office/webextensions/webextension/2010/11" id="{FF9F6DD9-0EA8-4437-B262-CD226D920BBF}">
  <we:reference id="wa103296784" version="1.1.0.0" store="en-US" storeType="OMEX"/>
  <we:alternateReferences>
    <we:reference id="WA103296784" version="1.1.0.0" store="" storeType="OMEX"/>
  </we:alternateReferences>
  <we:properties/>
  <we:bindings/>
  <we:snapshot xmlns:r="http://schemas.openxmlformats.org/officeDocument/2006/relationships"/>
</we:webextension>
</file>

<file path=xl/webextensions/webextension7.xml><?xml version="1.0" encoding="utf-8"?>
<we:webextension xmlns:we="http://schemas.microsoft.com/office/webextensions/webextension/2010/11" id="{C7888E8D-8699-41B5-AD40-4569E673D7F4}">
  <we:reference id="wa104381071" version="2.0.0.0" store="en-US" storeType="OMEX"/>
  <we:alternateReferences>
    <we:reference id="wa104381071" version="2.0.0.0" store="wa104381071" storeType="OMEX"/>
  </we:alternateReferences>
  <we:properties/>
  <we:bindings/>
  <we:snapshot xmlns:r="http://schemas.openxmlformats.org/officeDocument/2006/relationships"/>
</we:webextension>
</file>

<file path=xl/webextensions/webextension8.xml><?xml version="1.0" encoding="utf-8"?>
<we:webextension xmlns:we="http://schemas.microsoft.com/office/webextensions/webextension/2010/11" id="{C4936D8A-2E92-470E-A275-549EBC46DB26}">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fvci2015/Advanced-Excel-Book-Projects/blob/main/list.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7BA4-BF1F-4031-B00B-8A5F72670363}">
  <dimension ref="A1:O100"/>
  <sheetViews>
    <sheetView topLeftCell="A10" workbookViewId="0">
      <selection activeCell="T10" sqref="T10"/>
    </sheetView>
  </sheetViews>
  <sheetFormatPr defaultRowHeight="15" x14ac:dyDescent="0.25"/>
  <cols>
    <col min="1" max="1" width="5.140625" bestFit="1" customWidth="1"/>
    <col min="2" max="2" width="11.28515625" bestFit="1" customWidth="1"/>
    <col min="3" max="3" width="10.42578125" bestFit="1" customWidth="1"/>
    <col min="4" max="4" width="11.7109375" bestFit="1" customWidth="1"/>
    <col min="5" max="5" width="14.140625" bestFit="1" customWidth="1"/>
    <col min="6" max="6" width="7.42578125" bestFit="1" customWidth="1"/>
    <col min="7" max="7" width="14.28515625" bestFit="1" customWidth="1"/>
    <col min="8" max="9" width="9" bestFit="1" customWidth="1"/>
    <col min="11" max="11" width="10.7109375" bestFit="1" customWidth="1"/>
    <col min="15" max="15" width="24.7109375" customWidth="1"/>
  </cols>
  <sheetData>
    <row r="1" spans="1:15" ht="15.75" x14ac:dyDescent="0.25">
      <c r="A1" s="1" t="s">
        <v>0</v>
      </c>
      <c r="B1" s="1" t="s">
        <v>1</v>
      </c>
      <c r="C1" s="1" t="s">
        <v>2</v>
      </c>
      <c r="D1" s="1" t="s">
        <v>3</v>
      </c>
      <c r="E1" s="1" t="s">
        <v>4</v>
      </c>
      <c r="F1" s="1" t="s">
        <v>5</v>
      </c>
      <c r="G1" s="1" t="s">
        <v>6</v>
      </c>
      <c r="H1" s="1" t="s">
        <v>7</v>
      </c>
      <c r="I1" s="1" t="s">
        <v>8</v>
      </c>
      <c r="J1" s="1" t="s">
        <v>9</v>
      </c>
      <c r="K1" s="1" t="s">
        <v>10</v>
      </c>
    </row>
    <row r="2" spans="1:15" x14ac:dyDescent="0.25">
      <c r="A2" s="2">
        <f>YEAR([1]Data!$D2)</f>
        <v>2013</v>
      </c>
      <c r="B2" s="3">
        <v>41587</v>
      </c>
      <c r="C2" s="3">
        <v>41590</v>
      </c>
      <c r="D2" s="2" t="s">
        <v>11</v>
      </c>
      <c r="E2" s="2" t="s">
        <v>12</v>
      </c>
      <c r="F2" s="2" t="s">
        <v>13</v>
      </c>
      <c r="G2" s="2" t="s">
        <v>14</v>
      </c>
      <c r="H2" s="2">
        <v>261.95999999999998</v>
      </c>
      <c r="I2" s="2">
        <v>2</v>
      </c>
      <c r="J2" s="2">
        <v>0</v>
      </c>
      <c r="K2" s="2">
        <v>41.913600000000002</v>
      </c>
      <c r="O2" t="str" cm="1">
        <f t="array" ref="O2">_xldudf_AI_TRANSLATE(G4, "Hindi")</f>
        <v>कार्यालय आपूर्ति</v>
      </c>
    </row>
    <row r="3" spans="1:15" x14ac:dyDescent="0.25">
      <c r="A3" s="2">
        <f>YEAR([1]Data!$D3)</f>
        <v>2013</v>
      </c>
      <c r="B3" s="3">
        <v>41587</v>
      </c>
      <c r="C3" s="3">
        <v>41590</v>
      </c>
      <c r="D3" s="2" t="s">
        <v>11</v>
      </c>
      <c r="E3" s="2" t="s">
        <v>12</v>
      </c>
      <c r="F3" s="2" t="s">
        <v>13</v>
      </c>
      <c r="G3" s="2" t="s">
        <v>14</v>
      </c>
      <c r="H3" s="2">
        <v>731.93999999999994</v>
      </c>
      <c r="I3" s="2">
        <v>3</v>
      </c>
      <c r="J3" s="2">
        <v>0</v>
      </c>
      <c r="K3" s="2">
        <v>219.58199999999997</v>
      </c>
      <c r="O3" t="str" cm="1">
        <f t="array" ref="O3">_xldudf_AI_EXTRACT("Call Yash if you have any questions", "name")</f>
        <v>Yash</v>
      </c>
    </row>
    <row r="4" spans="1:15" x14ac:dyDescent="0.25">
      <c r="A4" s="2">
        <f>YEAR([1]Data!$D4)</f>
        <v>2013</v>
      </c>
      <c r="B4" s="3">
        <v>41438</v>
      </c>
      <c r="C4" s="3">
        <v>41442</v>
      </c>
      <c r="D4" s="2" t="s">
        <v>15</v>
      </c>
      <c r="E4" s="2" t="s">
        <v>16</v>
      </c>
      <c r="F4" s="2" t="s">
        <v>17</v>
      </c>
      <c r="G4" s="2" t="s">
        <v>18</v>
      </c>
      <c r="H4" s="2">
        <v>14.62</v>
      </c>
      <c r="I4" s="2">
        <v>2</v>
      </c>
      <c r="J4" s="2">
        <v>0</v>
      </c>
      <c r="K4" s="2">
        <v>6.8713999999999995</v>
      </c>
    </row>
    <row r="5" spans="1:15" x14ac:dyDescent="0.25">
      <c r="A5" s="2">
        <f>YEAR([1]Data!$D5)</f>
        <v>2012</v>
      </c>
      <c r="B5" s="3">
        <v>41193</v>
      </c>
      <c r="C5" s="3">
        <v>41200</v>
      </c>
      <c r="D5" s="2" t="s">
        <v>11</v>
      </c>
      <c r="E5" s="2" t="s">
        <v>19</v>
      </c>
      <c r="F5" s="2" t="s">
        <v>13</v>
      </c>
      <c r="G5" s="2" t="s">
        <v>14</v>
      </c>
      <c r="H5" s="2">
        <v>957.57749999999999</v>
      </c>
      <c r="I5" s="2">
        <v>5</v>
      </c>
      <c r="J5" s="2">
        <v>0.45</v>
      </c>
      <c r="K5" s="2">
        <v>-383.03100000000006</v>
      </c>
    </row>
    <row r="6" spans="1:15" x14ac:dyDescent="0.25">
      <c r="A6" s="2">
        <f>YEAR([1]Data!$D6)</f>
        <v>2012</v>
      </c>
      <c r="B6" s="3">
        <v>41193</v>
      </c>
      <c r="C6" s="3">
        <v>41200</v>
      </c>
      <c r="D6" s="2" t="s">
        <v>11</v>
      </c>
      <c r="E6" s="2" t="s">
        <v>19</v>
      </c>
      <c r="F6" s="2" t="s">
        <v>13</v>
      </c>
      <c r="G6" s="2" t="s">
        <v>18</v>
      </c>
      <c r="H6" s="2">
        <v>22.368000000000002</v>
      </c>
      <c r="I6" s="2">
        <v>2</v>
      </c>
      <c r="J6" s="2">
        <v>0.2</v>
      </c>
      <c r="K6" s="2">
        <v>2.5163999999999991</v>
      </c>
    </row>
    <row r="7" spans="1:15" x14ac:dyDescent="0.25">
      <c r="A7" s="2">
        <f>YEAR([1]Data!$D7)</f>
        <v>2011</v>
      </c>
      <c r="B7" s="3">
        <v>40703</v>
      </c>
      <c r="C7" s="3">
        <v>40708</v>
      </c>
      <c r="D7" s="2" t="s">
        <v>11</v>
      </c>
      <c r="E7" s="2" t="s">
        <v>16</v>
      </c>
      <c r="F7" s="2" t="s">
        <v>17</v>
      </c>
      <c r="G7" s="2" t="s">
        <v>14</v>
      </c>
      <c r="H7" s="2">
        <v>48.86</v>
      </c>
      <c r="I7" s="2">
        <v>7</v>
      </c>
      <c r="J7" s="2">
        <v>0</v>
      </c>
      <c r="K7" s="2">
        <v>14.169399999999996</v>
      </c>
    </row>
    <row r="8" spans="1:15" x14ac:dyDescent="0.25">
      <c r="A8" s="2">
        <f>YEAR([1]Data!$D8)</f>
        <v>2011</v>
      </c>
      <c r="B8" s="3">
        <v>40703</v>
      </c>
      <c r="C8" s="3">
        <v>40708</v>
      </c>
      <c r="D8" s="2" t="s">
        <v>11</v>
      </c>
      <c r="E8" s="2" t="s">
        <v>16</v>
      </c>
      <c r="F8" s="2" t="s">
        <v>17</v>
      </c>
      <c r="G8" s="2" t="s">
        <v>18</v>
      </c>
      <c r="H8" s="2">
        <v>7.28</v>
      </c>
      <c r="I8" s="2">
        <v>4</v>
      </c>
      <c r="J8" s="2">
        <v>0</v>
      </c>
      <c r="K8" s="2">
        <v>1.9656000000000002</v>
      </c>
      <c r="O8" t="str" cm="1">
        <f t="array" ref="O8">_xldudf_AI_ASK("get me all the states of india")</f>
        <v>India has 28 states and 8 Union territories. Here is the list of all the states:
1. Andhra Pradesh
2. Arunachal Pradesh
3. Assam
4. Bihar
5. Chhattisgarh
6. Goa
7. Gujarat
8. Haryana
9. Himachal Pradesh
10. Jharkhand
11. Karnataka
12. Kerala
13. Madhya Pradesh
14. Maharashtra
15. Manipur
16. Meghalaya
17. Mizoram
18. Nagaland
19. Odisha
20. Punjab
21. Rajasthan
22. Sikkim
23. Tamil Nadu
24. Telangana
25. Tripura
26. Uttar Pradesh
27. Uttarakhand
28. West Bengal</v>
      </c>
    </row>
    <row r="9" spans="1:15" x14ac:dyDescent="0.25">
      <c r="A9" s="2">
        <f>YEAR([1]Data!$D9)</f>
        <v>2011</v>
      </c>
      <c r="B9" s="3">
        <v>40703</v>
      </c>
      <c r="C9" s="3">
        <v>40708</v>
      </c>
      <c r="D9" s="2" t="s">
        <v>11</v>
      </c>
      <c r="E9" s="2" t="s">
        <v>16</v>
      </c>
      <c r="F9" s="2" t="s">
        <v>17</v>
      </c>
      <c r="G9" s="2" t="s">
        <v>20</v>
      </c>
      <c r="H9" s="2">
        <v>907.15200000000004</v>
      </c>
      <c r="I9" s="2">
        <v>6</v>
      </c>
      <c r="J9" s="2">
        <v>0.2</v>
      </c>
      <c r="K9" s="2">
        <v>90.715200000000038</v>
      </c>
    </row>
    <row r="10" spans="1:15" ht="409.5" x14ac:dyDescent="0.25">
      <c r="A10" s="2">
        <f>YEAR([1]Data!$D10)</f>
        <v>2011</v>
      </c>
      <c r="B10" s="3">
        <v>40703</v>
      </c>
      <c r="C10" s="3">
        <v>40708</v>
      </c>
      <c r="D10" s="2" t="s">
        <v>11</v>
      </c>
      <c r="E10" s="2" t="s">
        <v>16</v>
      </c>
      <c r="F10" s="2" t="s">
        <v>17</v>
      </c>
      <c r="G10" s="2" t="s">
        <v>18</v>
      </c>
      <c r="H10" s="2">
        <v>18.504000000000001</v>
      </c>
      <c r="I10" s="2">
        <v>3</v>
      </c>
      <c r="J10" s="2">
        <v>0.2</v>
      </c>
      <c r="K10" s="2">
        <v>5.7824999999999998</v>
      </c>
      <c r="O10" s="4" t="str" cm="1">
        <f t="array" ref="O10">_xldudf_AI_ASK("extract important insights from the data",A1:K100)</f>
        <v>### Key Insights from the Sales Data:
1. **Sales Performance by Segment:**  
   - The Consumer segment has a diverse range of products, with significant sales in Furniture and Office Supplies.  
   - Corporate sales are also notable, particularly in Office Supplies and Technology, indicating a strong demand in business environments.
2. **Profitability Analysis:**  
   - Some sales resulted in negative profits, particularly in the Furniture category for certain states (e.g., Florida and Pennsylvania).  
   - High sales amounts do not always correlate with high profits; for example, a sale of $3083.43 in Pennsylvania resulted in a loss of -$1665.0522.
3. **Discount Impact:**  
   - Discounts appear to have a significant impact on profitability. For instance, high discounts (e.g., 0.8) in the Office Supplies category led to negative profits in some cases.
   - Conversely, sales with no discounts often resulted in positive profits, suggesting that maintaining higher prices could be beneficial.
4. **Regional Insights:**  
   - The West region, particularly California, shows a high volume of sales across various categories, especially in Office Supplies and Technology.
   - The South region also has notable sales, particularly in states like Texas and Florida, but with mixed profitability outcomes.
5. **Product Category Trends:**  
   - Office Supplies consistently show strong sales across multiple segments, indicating a stable demand.
   - Furniture sales are more volatile, with some transactions leading to significant losses, suggesting a need for better pricing strategies or inventory management.
6. **Yearly Trends:**  
   - The data spans from 2011 to 2014, with varying sales performance. It would be beneficial to analyze trends over these years to identify growth patterns or declines in specific categories or regions.
7. **Quantity Sold:**  
   - The quantity sold varies significantly, with some high-value items sold in smaller quantities (e.g., Technology), while lower-value items (e.g., Office Supplies) are sold in larger quantities, indicating different purchasing behaviors.
8. **State-Specific Insights:**  
   - States like California and Texas show high sales volumes, but profitability varies widely, suggesting that market conditions or competition may differ significantly across states.
### Recommendations:
- **Focus on High-Profit Products:**  
  Prioritize marketing and sales strategies for products that consistently yield high profits, such as certain Office Supplies.
- **Reassess Discount Strategies:**  
  Evaluate the effectiveness of discounts on sales and profits, particularly in categories that show negative profitability.
- **Regional Marketing Strategies:**  
  Tailor marketing efforts based on regional performance, focusing on states with high sales but low profitability to improve overall margins.</v>
      </c>
    </row>
    <row r="11" spans="1:15" x14ac:dyDescent="0.25">
      <c r="A11" s="2">
        <f>YEAR([1]Data!$D11)</f>
        <v>2011</v>
      </c>
      <c r="B11" s="3">
        <v>40703</v>
      </c>
      <c r="C11" s="3">
        <v>40708</v>
      </c>
      <c r="D11" s="2" t="s">
        <v>11</v>
      </c>
      <c r="E11" s="2" t="s">
        <v>16</v>
      </c>
      <c r="F11" s="2" t="s">
        <v>17</v>
      </c>
      <c r="G11" s="2" t="s">
        <v>18</v>
      </c>
      <c r="H11" s="2">
        <v>114.9</v>
      </c>
      <c r="I11" s="2">
        <v>5</v>
      </c>
      <c r="J11" s="2">
        <v>0</v>
      </c>
      <c r="K11" s="2">
        <v>34.469999999999992</v>
      </c>
    </row>
    <row r="12" spans="1:15" x14ac:dyDescent="0.25">
      <c r="A12" s="2">
        <f>YEAR([1]Data!$D12)</f>
        <v>2011</v>
      </c>
      <c r="B12" s="3">
        <v>40703</v>
      </c>
      <c r="C12" s="3">
        <v>40708</v>
      </c>
      <c r="D12" s="2" t="s">
        <v>11</v>
      </c>
      <c r="E12" s="2" t="s">
        <v>16</v>
      </c>
      <c r="F12" s="2" t="s">
        <v>17</v>
      </c>
      <c r="G12" s="2" t="s">
        <v>14</v>
      </c>
      <c r="H12" s="2">
        <v>1706.1840000000002</v>
      </c>
      <c r="I12" s="2">
        <v>9</v>
      </c>
      <c r="J12" s="2">
        <v>0.2</v>
      </c>
      <c r="K12" s="2">
        <v>85.309199999999805</v>
      </c>
    </row>
    <row r="13" spans="1:15" x14ac:dyDescent="0.25">
      <c r="A13" s="2">
        <f>YEAR([1]Data!$D13)</f>
        <v>2011</v>
      </c>
      <c r="B13" s="3">
        <v>40703</v>
      </c>
      <c r="C13" s="3">
        <v>40708</v>
      </c>
      <c r="D13" s="2" t="s">
        <v>11</v>
      </c>
      <c r="E13" s="2" t="s">
        <v>16</v>
      </c>
      <c r="F13" s="2" t="s">
        <v>17</v>
      </c>
      <c r="G13" s="2" t="s">
        <v>20</v>
      </c>
      <c r="H13" s="2">
        <v>911.42399999999998</v>
      </c>
      <c r="I13" s="2">
        <v>4</v>
      </c>
      <c r="J13" s="2">
        <v>0.2</v>
      </c>
      <c r="K13" s="2">
        <v>68.356800000000021</v>
      </c>
    </row>
    <row r="14" spans="1:15" x14ac:dyDescent="0.25">
      <c r="A14" s="2">
        <f>YEAR([1]Data!$D14)</f>
        <v>2014</v>
      </c>
      <c r="B14" s="3">
        <v>41745</v>
      </c>
      <c r="C14" s="3">
        <v>41750</v>
      </c>
      <c r="D14" s="2" t="s">
        <v>11</v>
      </c>
      <c r="E14" s="2" t="s">
        <v>21</v>
      </c>
      <c r="F14" s="2" t="s">
        <v>13</v>
      </c>
      <c r="G14" s="2" t="s">
        <v>18</v>
      </c>
      <c r="H14" s="2">
        <v>15.552000000000003</v>
      </c>
      <c r="I14" s="2">
        <v>3</v>
      </c>
      <c r="J14" s="2">
        <v>0.2</v>
      </c>
      <c r="K14" s="2">
        <v>5.4432</v>
      </c>
    </row>
    <row r="15" spans="1:15" x14ac:dyDescent="0.25">
      <c r="A15" s="2">
        <f>YEAR([1]Data!$D15)</f>
        <v>2013</v>
      </c>
      <c r="B15" s="3">
        <v>41614</v>
      </c>
      <c r="C15" s="3">
        <v>41619</v>
      </c>
      <c r="D15" s="2" t="s">
        <v>11</v>
      </c>
      <c r="E15" s="2" t="s">
        <v>22</v>
      </c>
      <c r="F15" s="2" t="s">
        <v>17</v>
      </c>
      <c r="G15" s="2" t="s">
        <v>18</v>
      </c>
      <c r="H15" s="2">
        <v>407.97600000000006</v>
      </c>
      <c r="I15" s="2">
        <v>3</v>
      </c>
      <c r="J15" s="2">
        <v>0.2</v>
      </c>
      <c r="K15" s="2">
        <v>132.59219999999993</v>
      </c>
    </row>
    <row r="16" spans="1:15" x14ac:dyDescent="0.25">
      <c r="A16" s="2">
        <f>YEAR([1]Data!$D16)</f>
        <v>2012</v>
      </c>
      <c r="B16" s="3">
        <v>41235</v>
      </c>
      <c r="C16" s="3">
        <v>41239</v>
      </c>
      <c r="D16" s="2" t="s">
        <v>23</v>
      </c>
      <c r="E16" s="2" t="s">
        <v>24</v>
      </c>
      <c r="F16" s="2" t="s">
        <v>25</v>
      </c>
      <c r="G16" s="2" t="s">
        <v>18</v>
      </c>
      <c r="H16" s="2">
        <v>68.809999999999988</v>
      </c>
      <c r="I16" s="2">
        <v>5</v>
      </c>
      <c r="J16" s="2">
        <v>0.8</v>
      </c>
      <c r="K16" s="2">
        <v>-123.858</v>
      </c>
    </row>
    <row r="17" spans="1:11" x14ac:dyDescent="0.25">
      <c r="A17" s="2">
        <f>YEAR([1]Data!$D17)</f>
        <v>2012</v>
      </c>
      <c r="B17" s="3">
        <v>41235</v>
      </c>
      <c r="C17" s="3">
        <v>41239</v>
      </c>
      <c r="D17" s="2" t="s">
        <v>23</v>
      </c>
      <c r="E17" s="2" t="s">
        <v>24</v>
      </c>
      <c r="F17" s="2" t="s">
        <v>25</v>
      </c>
      <c r="G17" s="2" t="s">
        <v>18</v>
      </c>
      <c r="H17" s="2">
        <v>2.5439999999999996</v>
      </c>
      <c r="I17" s="2">
        <v>3</v>
      </c>
      <c r="J17" s="2">
        <v>0.8</v>
      </c>
      <c r="K17" s="2">
        <v>-3.8160000000000016</v>
      </c>
    </row>
    <row r="18" spans="1:11" x14ac:dyDescent="0.25">
      <c r="A18" s="2">
        <f>YEAR([1]Data!$D18)</f>
        <v>2011</v>
      </c>
      <c r="B18" s="3">
        <v>40858</v>
      </c>
      <c r="C18" s="3">
        <v>40865</v>
      </c>
      <c r="D18" s="2" t="s">
        <v>11</v>
      </c>
      <c r="E18" s="2" t="s">
        <v>26</v>
      </c>
      <c r="F18" s="2" t="s">
        <v>25</v>
      </c>
      <c r="G18" s="2" t="s">
        <v>18</v>
      </c>
      <c r="H18" s="2">
        <v>665.88</v>
      </c>
      <c r="I18" s="2">
        <v>6</v>
      </c>
      <c r="J18" s="2">
        <v>0</v>
      </c>
      <c r="K18" s="2">
        <v>13.317599999999999</v>
      </c>
    </row>
    <row r="19" spans="1:11" x14ac:dyDescent="0.25">
      <c r="A19" s="2">
        <f>YEAR([1]Data!$D19)</f>
        <v>2011</v>
      </c>
      <c r="B19" s="3">
        <v>40676</v>
      </c>
      <c r="C19" s="3">
        <v>40678</v>
      </c>
      <c r="D19" s="2" t="s">
        <v>11</v>
      </c>
      <c r="E19" s="2" t="s">
        <v>27</v>
      </c>
      <c r="F19" s="2" t="s">
        <v>17</v>
      </c>
      <c r="G19" s="2" t="s">
        <v>18</v>
      </c>
      <c r="H19" s="2">
        <v>55.5</v>
      </c>
      <c r="I19" s="2">
        <v>2</v>
      </c>
      <c r="J19" s="2">
        <v>0</v>
      </c>
      <c r="K19" s="2">
        <v>9.9899999999999949</v>
      </c>
    </row>
    <row r="20" spans="1:11" x14ac:dyDescent="0.25">
      <c r="A20" s="2">
        <f>YEAR([1]Data!$D20)</f>
        <v>2011</v>
      </c>
      <c r="B20" s="3">
        <v>40782</v>
      </c>
      <c r="C20" s="3">
        <v>40787</v>
      </c>
      <c r="D20" s="2" t="s">
        <v>11</v>
      </c>
      <c r="E20" s="2" t="s">
        <v>16</v>
      </c>
      <c r="F20" s="2" t="s">
        <v>17</v>
      </c>
      <c r="G20" s="2" t="s">
        <v>18</v>
      </c>
      <c r="H20" s="2">
        <v>8.56</v>
      </c>
      <c r="I20" s="2">
        <v>2</v>
      </c>
      <c r="J20" s="2">
        <v>0</v>
      </c>
      <c r="K20" s="2">
        <v>2.4823999999999993</v>
      </c>
    </row>
    <row r="21" spans="1:11" x14ac:dyDescent="0.25">
      <c r="A21" s="2">
        <f>YEAR([1]Data!$D21)</f>
        <v>2011</v>
      </c>
      <c r="B21" s="3">
        <v>40782</v>
      </c>
      <c r="C21" s="3">
        <v>40787</v>
      </c>
      <c r="D21" s="2" t="s">
        <v>11</v>
      </c>
      <c r="E21" s="2" t="s">
        <v>16</v>
      </c>
      <c r="F21" s="2" t="s">
        <v>17</v>
      </c>
      <c r="G21" s="2" t="s">
        <v>20</v>
      </c>
      <c r="H21" s="2">
        <v>213.48000000000002</v>
      </c>
      <c r="I21" s="2">
        <v>3</v>
      </c>
      <c r="J21" s="2">
        <v>0.2</v>
      </c>
      <c r="K21" s="2">
        <v>16.010999999999981</v>
      </c>
    </row>
    <row r="22" spans="1:11" x14ac:dyDescent="0.25">
      <c r="A22" s="2">
        <f>YEAR([1]Data!$D22)</f>
        <v>2011</v>
      </c>
      <c r="B22" s="3">
        <v>40782</v>
      </c>
      <c r="C22" s="3">
        <v>40787</v>
      </c>
      <c r="D22" s="2" t="s">
        <v>11</v>
      </c>
      <c r="E22" s="2" t="s">
        <v>16</v>
      </c>
      <c r="F22" s="2" t="s">
        <v>17</v>
      </c>
      <c r="G22" s="2" t="s">
        <v>18</v>
      </c>
      <c r="H22" s="2">
        <v>22.72</v>
      </c>
      <c r="I22" s="2">
        <v>4</v>
      </c>
      <c r="J22" s="2">
        <v>0.2</v>
      </c>
      <c r="K22" s="2">
        <v>7.3839999999999986</v>
      </c>
    </row>
    <row r="23" spans="1:11" x14ac:dyDescent="0.25">
      <c r="A23" s="2">
        <f>YEAR([1]Data!$D23)</f>
        <v>2013</v>
      </c>
      <c r="B23" s="3">
        <v>41618</v>
      </c>
      <c r="C23" s="3">
        <v>41622</v>
      </c>
      <c r="D23" s="2" t="s">
        <v>15</v>
      </c>
      <c r="E23" s="2" t="s">
        <v>28</v>
      </c>
      <c r="F23" s="2" t="s">
        <v>25</v>
      </c>
      <c r="G23" s="2" t="s">
        <v>18</v>
      </c>
      <c r="H23" s="2">
        <v>19.459999999999997</v>
      </c>
      <c r="I23" s="2">
        <v>7</v>
      </c>
      <c r="J23" s="2">
        <v>0</v>
      </c>
      <c r="K23" s="2">
        <v>5.0595999999999997</v>
      </c>
    </row>
    <row r="24" spans="1:11" x14ac:dyDescent="0.25">
      <c r="A24" s="2">
        <f>YEAR([1]Data!$D24)</f>
        <v>2013</v>
      </c>
      <c r="B24" s="3">
        <v>41618</v>
      </c>
      <c r="C24" s="3">
        <v>41622</v>
      </c>
      <c r="D24" s="2" t="s">
        <v>15</v>
      </c>
      <c r="E24" s="2" t="s">
        <v>28</v>
      </c>
      <c r="F24" s="2" t="s">
        <v>25</v>
      </c>
      <c r="G24" s="2" t="s">
        <v>18</v>
      </c>
      <c r="H24" s="2">
        <v>60.339999999999996</v>
      </c>
      <c r="I24" s="2">
        <v>7</v>
      </c>
      <c r="J24" s="2">
        <v>0</v>
      </c>
      <c r="K24" s="2">
        <v>15.688400000000001</v>
      </c>
    </row>
    <row r="25" spans="1:11" x14ac:dyDescent="0.25">
      <c r="A25" s="2">
        <f>YEAR([1]Data!$D25)</f>
        <v>2014</v>
      </c>
      <c r="B25" s="3">
        <v>41837</v>
      </c>
      <c r="C25" s="3">
        <v>41839</v>
      </c>
      <c r="D25" s="2" t="s">
        <v>11</v>
      </c>
      <c r="E25" s="2" t="s">
        <v>29</v>
      </c>
      <c r="F25" s="2" t="s">
        <v>30</v>
      </c>
      <c r="G25" s="2" t="s">
        <v>14</v>
      </c>
      <c r="H25" s="2">
        <v>71.371999999999986</v>
      </c>
      <c r="I25" s="2">
        <v>2</v>
      </c>
      <c r="J25" s="2">
        <v>0.3</v>
      </c>
      <c r="K25" s="2">
        <v>-1.0196000000000005</v>
      </c>
    </row>
    <row r="26" spans="1:11" x14ac:dyDescent="0.25">
      <c r="A26" s="2">
        <f>YEAR([1]Data!$D26)</f>
        <v>2012</v>
      </c>
      <c r="B26" s="3">
        <v>41177</v>
      </c>
      <c r="C26" s="3">
        <v>41182</v>
      </c>
      <c r="D26" s="2" t="s">
        <v>11</v>
      </c>
      <c r="E26" s="2" t="s">
        <v>27</v>
      </c>
      <c r="F26" s="2" t="s">
        <v>17</v>
      </c>
      <c r="G26" s="2" t="s">
        <v>14</v>
      </c>
      <c r="H26" s="2">
        <v>1044.6299999999999</v>
      </c>
      <c r="I26" s="2">
        <v>3</v>
      </c>
      <c r="J26" s="2">
        <v>0</v>
      </c>
      <c r="K26" s="2">
        <v>240.26490000000001</v>
      </c>
    </row>
    <row r="27" spans="1:11" x14ac:dyDescent="0.25">
      <c r="A27" s="2">
        <f>YEAR([1]Data!$D27)</f>
        <v>2013</v>
      </c>
      <c r="B27" s="3">
        <v>41290</v>
      </c>
      <c r="C27" s="3">
        <v>41294</v>
      </c>
      <c r="D27" s="2" t="s">
        <v>11</v>
      </c>
      <c r="E27" s="2" t="s">
        <v>16</v>
      </c>
      <c r="F27" s="2" t="s">
        <v>17</v>
      </c>
      <c r="G27" s="2" t="s">
        <v>18</v>
      </c>
      <c r="H27" s="2">
        <v>11.648000000000001</v>
      </c>
      <c r="I27" s="2">
        <v>2</v>
      </c>
      <c r="J27" s="2">
        <v>0.2</v>
      </c>
      <c r="K27" s="2">
        <v>4.2224000000000004</v>
      </c>
    </row>
    <row r="28" spans="1:11" x14ac:dyDescent="0.25">
      <c r="A28" s="2">
        <f>YEAR([1]Data!$D28)</f>
        <v>2013</v>
      </c>
      <c r="B28" s="3">
        <v>41290</v>
      </c>
      <c r="C28" s="3">
        <v>41294</v>
      </c>
      <c r="D28" s="2" t="s">
        <v>11</v>
      </c>
      <c r="E28" s="2" t="s">
        <v>16</v>
      </c>
      <c r="F28" s="2" t="s">
        <v>17</v>
      </c>
      <c r="G28" s="2" t="s">
        <v>20</v>
      </c>
      <c r="H28" s="2">
        <v>90.570000000000007</v>
      </c>
      <c r="I28" s="2">
        <v>3</v>
      </c>
      <c r="J28" s="2">
        <v>0</v>
      </c>
      <c r="K28" s="2">
        <v>11.774100000000004</v>
      </c>
    </row>
    <row r="29" spans="1:11" x14ac:dyDescent="0.25">
      <c r="A29" s="2">
        <f>YEAR([1]Data!$D29)</f>
        <v>2012</v>
      </c>
      <c r="B29" s="3">
        <v>41169</v>
      </c>
      <c r="C29" s="3">
        <v>41173</v>
      </c>
      <c r="D29" s="2" t="s">
        <v>11</v>
      </c>
      <c r="E29" s="2" t="s">
        <v>29</v>
      </c>
      <c r="F29" s="2" t="s">
        <v>30</v>
      </c>
      <c r="G29" s="2" t="s">
        <v>14</v>
      </c>
      <c r="H29" s="2">
        <v>3083.4300000000003</v>
      </c>
      <c r="I29" s="2">
        <v>7</v>
      </c>
      <c r="J29" s="2">
        <v>0.5</v>
      </c>
      <c r="K29" s="2">
        <v>-1665.0522000000001</v>
      </c>
    </row>
    <row r="30" spans="1:11" x14ac:dyDescent="0.25">
      <c r="A30" s="2">
        <f>YEAR([1]Data!$D30)</f>
        <v>2012</v>
      </c>
      <c r="B30" s="3">
        <v>41169</v>
      </c>
      <c r="C30" s="3">
        <v>41173</v>
      </c>
      <c r="D30" s="2" t="s">
        <v>11</v>
      </c>
      <c r="E30" s="2" t="s">
        <v>29</v>
      </c>
      <c r="F30" s="2" t="s">
        <v>30</v>
      </c>
      <c r="G30" s="2" t="s">
        <v>18</v>
      </c>
      <c r="H30" s="2">
        <v>9.6180000000000021</v>
      </c>
      <c r="I30" s="2">
        <v>2</v>
      </c>
      <c r="J30" s="2">
        <v>0.7</v>
      </c>
      <c r="K30" s="2">
        <v>-7.0532000000000004</v>
      </c>
    </row>
    <row r="31" spans="1:11" x14ac:dyDescent="0.25">
      <c r="A31" s="2">
        <f>YEAR([1]Data!$D31)</f>
        <v>2012</v>
      </c>
      <c r="B31" s="3">
        <v>41169</v>
      </c>
      <c r="C31" s="3">
        <v>41173</v>
      </c>
      <c r="D31" s="2" t="s">
        <v>11</v>
      </c>
      <c r="E31" s="2" t="s">
        <v>29</v>
      </c>
      <c r="F31" s="2" t="s">
        <v>30</v>
      </c>
      <c r="G31" s="2" t="s">
        <v>14</v>
      </c>
      <c r="H31" s="2">
        <v>124.20000000000002</v>
      </c>
      <c r="I31" s="2">
        <v>3</v>
      </c>
      <c r="J31" s="2">
        <v>0.2</v>
      </c>
      <c r="K31" s="2">
        <v>15.524999999999991</v>
      </c>
    </row>
    <row r="32" spans="1:11" x14ac:dyDescent="0.25">
      <c r="A32" s="2">
        <f>YEAR([1]Data!$D32)</f>
        <v>2012</v>
      </c>
      <c r="B32" s="3">
        <v>41169</v>
      </c>
      <c r="C32" s="3">
        <v>41173</v>
      </c>
      <c r="D32" s="2" t="s">
        <v>11</v>
      </c>
      <c r="E32" s="2" t="s">
        <v>29</v>
      </c>
      <c r="F32" s="2" t="s">
        <v>30</v>
      </c>
      <c r="G32" s="2" t="s">
        <v>18</v>
      </c>
      <c r="H32" s="2">
        <v>3.2640000000000002</v>
      </c>
      <c r="I32" s="2">
        <v>2</v>
      </c>
      <c r="J32" s="2">
        <v>0.2</v>
      </c>
      <c r="K32" s="2">
        <v>1.1015999999999997</v>
      </c>
    </row>
    <row r="33" spans="1:11" x14ac:dyDescent="0.25">
      <c r="A33" s="2">
        <f>YEAR([1]Data!$D33)</f>
        <v>2012</v>
      </c>
      <c r="B33" s="3">
        <v>41169</v>
      </c>
      <c r="C33" s="3">
        <v>41173</v>
      </c>
      <c r="D33" s="2" t="s">
        <v>11</v>
      </c>
      <c r="E33" s="2" t="s">
        <v>29</v>
      </c>
      <c r="F33" s="2" t="s">
        <v>30</v>
      </c>
      <c r="G33" s="2" t="s">
        <v>18</v>
      </c>
      <c r="H33" s="2">
        <v>86.304000000000002</v>
      </c>
      <c r="I33" s="2">
        <v>6</v>
      </c>
      <c r="J33" s="2">
        <v>0.2</v>
      </c>
      <c r="K33" s="2">
        <v>9.7091999999999885</v>
      </c>
    </row>
    <row r="34" spans="1:11" x14ac:dyDescent="0.25">
      <c r="A34" s="2">
        <f>YEAR([1]Data!$D34)</f>
        <v>2012</v>
      </c>
      <c r="B34" s="3">
        <v>41169</v>
      </c>
      <c r="C34" s="3">
        <v>41173</v>
      </c>
      <c r="D34" s="2" t="s">
        <v>11</v>
      </c>
      <c r="E34" s="2" t="s">
        <v>29</v>
      </c>
      <c r="F34" s="2" t="s">
        <v>30</v>
      </c>
      <c r="G34" s="2" t="s">
        <v>18</v>
      </c>
      <c r="H34" s="2">
        <v>6.8580000000000014</v>
      </c>
      <c r="I34" s="2">
        <v>6</v>
      </c>
      <c r="J34" s="2">
        <v>0.7</v>
      </c>
      <c r="K34" s="2">
        <v>-5.7149999999999999</v>
      </c>
    </row>
    <row r="35" spans="1:11" x14ac:dyDescent="0.25">
      <c r="A35" s="2">
        <f>YEAR([1]Data!$D35)</f>
        <v>2012</v>
      </c>
      <c r="B35" s="3">
        <v>41169</v>
      </c>
      <c r="C35" s="3">
        <v>41173</v>
      </c>
      <c r="D35" s="2" t="s">
        <v>11</v>
      </c>
      <c r="E35" s="2" t="s">
        <v>29</v>
      </c>
      <c r="F35" s="2" t="s">
        <v>30</v>
      </c>
      <c r="G35" s="2" t="s">
        <v>18</v>
      </c>
      <c r="H35" s="2">
        <v>15.76</v>
      </c>
      <c r="I35" s="2">
        <v>2</v>
      </c>
      <c r="J35" s="2">
        <v>0.2</v>
      </c>
      <c r="K35" s="2">
        <v>3.5460000000000007</v>
      </c>
    </row>
    <row r="36" spans="1:11" x14ac:dyDescent="0.25">
      <c r="A36" s="2">
        <f>YEAR([1]Data!$D36)</f>
        <v>2014</v>
      </c>
      <c r="B36" s="3">
        <v>41932</v>
      </c>
      <c r="C36" s="3">
        <v>41936</v>
      </c>
      <c r="D36" s="2" t="s">
        <v>23</v>
      </c>
      <c r="E36" s="2" t="s">
        <v>24</v>
      </c>
      <c r="F36" s="2" t="s">
        <v>25</v>
      </c>
      <c r="G36" s="2" t="s">
        <v>18</v>
      </c>
      <c r="H36" s="2">
        <v>29.472000000000001</v>
      </c>
      <c r="I36" s="2">
        <v>3</v>
      </c>
      <c r="J36" s="2">
        <v>0.2</v>
      </c>
      <c r="K36" s="2">
        <v>9.9467999999999979</v>
      </c>
    </row>
    <row r="37" spans="1:11" x14ac:dyDescent="0.25">
      <c r="A37" s="2">
        <f>YEAR([1]Data!$D37)</f>
        <v>2013</v>
      </c>
      <c r="B37" s="3">
        <v>41617</v>
      </c>
      <c r="C37" s="3">
        <v>41619</v>
      </c>
      <c r="D37" s="2" t="s">
        <v>15</v>
      </c>
      <c r="E37" s="2" t="s">
        <v>24</v>
      </c>
      <c r="F37" s="2" t="s">
        <v>25</v>
      </c>
      <c r="G37" s="2" t="s">
        <v>20</v>
      </c>
      <c r="H37" s="2">
        <v>1097.5440000000003</v>
      </c>
      <c r="I37" s="2">
        <v>7</v>
      </c>
      <c r="J37" s="2">
        <v>0.2</v>
      </c>
      <c r="K37" s="2">
        <v>123.47369999999989</v>
      </c>
    </row>
    <row r="38" spans="1:11" x14ac:dyDescent="0.25">
      <c r="A38" s="2">
        <f>YEAR([1]Data!$D38)</f>
        <v>2013</v>
      </c>
      <c r="B38" s="3">
        <v>41617</v>
      </c>
      <c r="C38" s="3">
        <v>41619</v>
      </c>
      <c r="D38" s="2" t="s">
        <v>15</v>
      </c>
      <c r="E38" s="2" t="s">
        <v>24</v>
      </c>
      <c r="F38" s="2" t="s">
        <v>25</v>
      </c>
      <c r="G38" s="2" t="s">
        <v>14</v>
      </c>
      <c r="H38" s="2">
        <v>190.92</v>
      </c>
      <c r="I38" s="2">
        <v>5</v>
      </c>
      <c r="J38" s="2">
        <v>0.6</v>
      </c>
      <c r="K38" s="2">
        <v>-147.96300000000002</v>
      </c>
    </row>
    <row r="39" spans="1:11" x14ac:dyDescent="0.25">
      <c r="A39" s="2">
        <f>YEAR([1]Data!$D39)</f>
        <v>2012</v>
      </c>
      <c r="B39" s="3">
        <v>41270</v>
      </c>
      <c r="C39" s="3">
        <v>41274</v>
      </c>
      <c r="D39" s="2" t="s">
        <v>23</v>
      </c>
      <c r="E39" s="2" t="s">
        <v>24</v>
      </c>
      <c r="F39" s="2" t="s">
        <v>25</v>
      </c>
      <c r="G39" s="2" t="s">
        <v>18</v>
      </c>
      <c r="H39" s="2">
        <v>113.328</v>
      </c>
      <c r="I39" s="2">
        <v>9</v>
      </c>
      <c r="J39" s="2">
        <v>0.2</v>
      </c>
      <c r="K39" s="2">
        <v>35.414999999999999</v>
      </c>
    </row>
    <row r="40" spans="1:11" x14ac:dyDescent="0.25">
      <c r="A40" s="2">
        <f>YEAR([1]Data!$D40)</f>
        <v>2012</v>
      </c>
      <c r="B40" s="3">
        <v>41270</v>
      </c>
      <c r="C40" s="3">
        <v>41274</v>
      </c>
      <c r="D40" s="2" t="s">
        <v>23</v>
      </c>
      <c r="E40" s="2" t="s">
        <v>24</v>
      </c>
      <c r="F40" s="2" t="s">
        <v>25</v>
      </c>
      <c r="G40" s="2" t="s">
        <v>14</v>
      </c>
      <c r="H40" s="2">
        <v>532.39919999999995</v>
      </c>
      <c r="I40" s="2">
        <v>3</v>
      </c>
      <c r="J40" s="2">
        <v>0.32</v>
      </c>
      <c r="K40" s="2">
        <v>-46.976400000000012</v>
      </c>
    </row>
    <row r="41" spans="1:11" x14ac:dyDescent="0.25">
      <c r="A41" s="2">
        <f>YEAR([1]Data!$D41)</f>
        <v>2012</v>
      </c>
      <c r="B41" s="3">
        <v>41270</v>
      </c>
      <c r="C41" s="3">
        <v>41274</v>
      </c>
      <c r="D41" s="2" t="s">
        <v>23</v>
      </c>
      <c r="E41" s="2" t="s">
        <v>24</v>
      </c>
      <c r="F41" s="2" t="s">
        <v>25</v>
      </c>
      <c r="G41" s="2" t="s">
        <v>14</v>
      </c>
      <c r="H41" s="2">
        <v>212.05799999999999</v>
      </c>
      <c r="I41" s="2">
        <v>3</v>
      </c>
      <c r="J41" s="2">
        <v>0.3</v>
      </c>
      <c r="K41" s="2">
        <v>-15.146999999999991</v>
      </c>
    </row>
    <row r="42" spans="1:11" x14ac:dyDescent="0.25">
      <c r="A42" s="2">
        <f>YEAR([1]Data!$D42)</f>
        <v>2012</v>
      </c>
      <c r="B42" s="3">
        <v>41270</v>
      </c>
      <c r="C42" s="3">
        <v>41274</v>
      </c>
      <c r="D42" s="2" t="s">
        <v>23</v>
      </c>
      <c r="E42" s="2" t="s">
        <v>24</v>
      </c>
      <c r="F42" s="2" t="s">
        <v>25</v>
      </c>
      <c r="G42" s="2" t="s">
        <v>20</v>
      </c>
      <c r="H42" s="2">
        <v>371.16800000000001</v>
      </c>
      <c r="I42" s="2">
        <v>4</v>
      </c>
      <c r="J42" s="2">
        <v>0.2</v>
      </c>
      <c r="K42" s="2">
        <v>41.756399999999957</v>
      </c>
    </row>
    <row r="43" spans="1:11" x14ac:dyDescent="0.25">
      <c r="A43" s="2">
        <f>YEAR([1]Data!$D43)</f>
        <v>2014</v>
      </c>
      <c r="B43" s="3">
        <v>41893</v>
      </c>
      <c r="C43" s="3">
        <v>41898</v>
      </c>
      <c r="D43" s="2" t="s">
        <v>15</v>
      </c>
      <c r="E43" s="2" t="s">
        <v>31</v>
      </c>
      <c r="F43" s="2" t="s">
        <v>25</v>
      </c>
      <c r="G43" s="2" t="s">
        <v>20</v>
      </c>
      <c r="H43" s="2">
        <v>147.16800000000001</v>
      </c>
      <c r="I43" s="2">
        <v>4</v>
      </c>
      <c r="J43" s="2">
        <v>0.2</v>
      </c>
      <c r="K43" s="2">
        <v>16.556399999999996</v>
      </c>
    </row>
    <row r="44" spans="1:11" x14ac:dyDescent="0.25">
      <c r="A44" s="2">
        <f>YEAR([1]Data!$D44)</f>
        <v>2013</v>
      </c>
      <c r="B44" s="3">
        <v>41473</v>
      </c>
      <c r="C44" s="3">
        <v>41478</v>
      </c>
      <c r="D44" s="2" t="s">
        <v>15</v>
      </c>
      <c r="E44" s="2" t="s">
        <v>16</v>
      </c>
      <c r="F44" s="2" t="s">
        <v>17</v>
      </c>
      <c r="G44" s="2" t="s">
        <v>18</v>
      </c>
      <c r="H44" s="2">
        <v>77.88</v>
      </c>
      <c r="I44" s="2">
        <v>2</v>
      </c>
      <c r="J44" s="2">
        <v>0</v>
      </c>
      <c r="K44" s="2">
        <v>3.8939999999999912</v>
      </c>
    </row>
    <row r="45" spans="1:11" x14ac:dyDescent="0.25">
      <c r="A45" s="2">
        <f>YEAR([1]Data!$D45)</f>
        <v>2014</v>
      </c>
      <c r="B45" s="3">
        <v>41902</v>
      </c>
      <c r="C45" s="3">
        <v>41906</v>
      </c>
      <c r="D45" s="2" t="s">
        <v>15</v>
      </c>
      <c r="E45" s="2" t="s">
        <v>19</v>
      </c>
      <c r="F45" s="2" t="s">
        <v>13</v>
      </c>
      <c r="G45" s="2" t="s">
        <v>18</v>
      </c>
      <c r="H45" s="2">
        <v>95.616</v>
      </c>
      <c r="I45" s="2">
        <v>2</v>
      </c>
      <c r="J45" s="2">
        <v>0.2</v>
      </c>
      <c r="K45" s="2">
        <v>9.5616000000000092</v>
      </c>
    </row>
    <row r="46" spans="1:11" x14ac:dyDescent="0.25">
      <c r="A46" s="2">
        <f>YEAR([1]Data!$D46)</f>
        <v>2013</v>
      </c>
      <c r="B46" s="3">
        <v>41345</v>
      </c>
      <c r="C46" s="3">
        <v>41347</v>
      </c>
      <c r="D46" s="2" t="s">
        <v>15</v>
      </c>
      <c r="E46" s="2" t="s">
        <v>32</v>
      </c>
      <c r="F46" s="2" t="s">
        <v>25</v>
      </c>
      <c r="G46" s="2" t="s">
        <v>20</v>
      </c>
      <c r="H46" s="2">
        <v>45.98</v>
      </c>
      <c r="I46" s="2">
        <v>2</v>
      </c>
      <c r="J46" s="2">
        <v>0</v>
      </c>
      <c r="K46" s="2">
        <v>19.7714</v>
      </c>
    </row>
    <row r="47" spans="1:11" x14ac:dyDescent="0.25">
      <c r="A47" s="2">
        <f>YEAR([1]Data!$D47)</f>
        <v>2013</v>
      </c>
      <c r="B47" s="3">
        <v>41345</v>
      </c>
      <c r="C47" s="3">
        <v>41347</v>
      </c>
      <c r="D47" s="2" t="s">
        <v>15</v>
      </c>
      <c r="E47" s="2" t="s">
        <v>32</v>
      </c>
      <c r="F47" s="2" t="s">
        <v>25</v>
      </c>
      <c r="G47" s="2" t="s">
        <v>18</v>
      </c>
      <c r="H47" s="2">
        <v>17.46</v>
      </c>
      <c r="I47" s="2">
        <v>2</v>
      </c>
      <c r="J47" s="2">
        <v>0</v>
      </c>
      <c r="K47" s="2">
        <v>8.2061999999999991</v>
      </c>
    </row>
    <row r="48" spans="1:11" x14ac:dyDescent="0.25">
      <c r="A48" s="2">
        <f>YEAR([1]Data!$D48)</f>
        <v>2011</v>
      </c>
      <c r="B48" s="3">
        <v>40836</v>
      </c>
      <c r="C48" s="3">
        <v>40841</v>
      </c>
      <c r="D48" s="2" t="s">
        <v>11</v>
      </c>
      <c r="E48" s="2" t="s">
        <v>33</v>
      </c>
      <c r="F48" s="2" t="s">
        <v>25</v>
      </c>
      <c r="G48" s="2" t="s">
        <v>18</v>
      </c>
      <c r="H48" s="2">
        <v>211.96</v>
      </c>
      <c r="I48" s="2">
        <v>4</v>
      </c>
      <c r="J48" s="2">
        <v>0</v>
      </c>
      <c r="K48" s="2">
        <v>8.4783999999999935</v>
      </c>
    </row>
    <row r="49" spans="1:11" x14ac:dyDescent="0.25">
      <c r="A49" s="2">
        <f>YEAR([1]Data!$D49)</f>
        <v>2013</v>
      </c>
      <c r="B49" s="3">
        <v>41446</v>
      </c>
      <c r="C49" s="3">
        <v>41451</v>
      </c>
      <c r="D49" s="2" t="s">
        <v>11</v>
      </c>
      <c r="E49" s="2" t="s">
        <v>34</v>
      </c>
      <c r="F49" s="2" t="s">
        <v>30</v>
      </c>
      <c r="G49" s="2" t="s">
        <v>20</v>
      </c>
      <c r="H49" s="2">
        <v>45</v>
      </c>
      <c r="I49" s="2">
        <v>3</v>
      </c>
      <c r="J49" s="2">
        <v>0</v>
      </c>
      <c r="K49" s="2">
        <v>4.9500000000000011</v>
      </c>
    </row>
    <row r="50" spans="1:11" x14ac:dyDescent="0.25">
      <c r="A50" s="2">
        <f>YEAR([1]Data!$D50)</f>
        <v>2013</v>
      </c>
      <c r="B50" s="3">
        <v>41446</v>
      </c>
      <c r="C50" s="3">
        <v>41451</v>
      </c>
      <c r="D50" s="2" t="s">
        <v>11</v>
      </c>
      <c r="E50" s="2" t="s">
        <v>34</v>
      </c>
      <c r="F50" s="2" t="s">
        <v>30</v>
      </c>
      <c r="G50" s="2" t="s">
        <v>20</v>
      </c>
      <c r="H50" s="2">
        <v>21.8</v>
      </c>
      <c r="I50" s="2">
        <v>2</v>
      </c>
      <c r="J50" s="2">
        <v>0</v>
      </c>
      <c r="K50" s="2">
        <v>6.104000000000001</v>
      </c>
    </row>
    <row r="51" spans="1:11" x14ac:dyDescent="0.25">
      <c r="A51" s="2">
        <f>YEAR([1]Data!$D51)</f>
        <v>2012</v>
      </c>
      <c r="B51" s="3">
        <v>41017</v>
      </c>
      <c r="C51" s="3">
        <v>41021</v>
      </c>
      <c r="D51" s="2" t="s">
        <v>11</v>
      </c>
      <c r="E51" s="2" t="s">
        <v>35</v>
      </c>
      <c r="F51" s="2" t="s">
        <v>25</v>
      </c>
      <c r="G51" s="2" t="s">
        <v>18</v>
      </c>
      <c r="H51" s="2">
        <v>38.22</v>
      </c>
      <c r="I51" s="2">
        <v>6</v>
      </c>
      <c r="J51" s="2">
        <v>0</v>
      </c>
      <c r="K51" s="2">
        <v>17.9634</v>
      </c>
    </row>
    <row r="52" spans="1:11" x14ac:dyDescent="0.25">
      <c r="A52" s="2">
        <f>YEAR([1]Data!$D52)</f>
        <v>2012</v>
      </c>
      <c r="B52" s="3">
        <v>41017</v>
      </c>
      <c r="C52" s="3">
        <v>41021</v>
      </c>
      <c r="D52" s="2" t="s">
        <v>11</v>
      </c>
      <c r="E52" s="2" t="s">
        <v>35</v>
      </c>
      <c r="F52" s="2" t="s">
        <v>25</v>
      </c>
      <c r="G52" s="2" t="s">
        <v>18</v>
      </c>
      <c r="H52" s="2">
        <v>75.179999999999993</v>
      </c>
      <c r="I52" s="2">
        <v>6</v>
      </c>
      <c r="J52" s="2">
        <v>0</v>
      </c>
      <c r="K52" s="2">
        <v>35.334599999999995</v>
      </c>
    </row>
    <row r="53" spans="1:11" x14ac:dyDescent="0.25">
      <c r="A53" s="2">
        <f>YEAR([1]Data!$D53)</f>
        <v>2012</v>
      </c>
      <c r="B53" s="3">
        <v>41017</v>
      </c>
      <c r="C53" s="3">
        <v>41021</v>
      </c>
      <c r="D53" s="2" t="s">
        <v>11</v>
      </c>
      <c r="E53" s="2" t="s">
        <v>35</v>
      </c>
      <c r="F53" s="2" t="s">
        <v>25</v>
      </c>
      <c r="G53" s="2" t="s">
        <v>14</v>
      </c>
      <c r="H53" s="2">
        <v>6.16</v>
      </c>
      <c r="I53" s="2">
        <v>2</v>
      </c>
      <c r="J53" s="2">
        <v>0</v>
      </c>
      <c r="K53" s="2">
        <v>2.9567999999999999</v>
      </c>
    </row>
    <row r="54" spans="1:11" x14ac:dyDescent="0.25">
      <c r="A54" s="2">
        <f>YEAR([1]Data!$D54)</f>
        <v>2012</v>
      </c>
      <c r="B54" s="3">
        <v>41017</v>
      </c>
      <c r="C54" s="3">
        <v>41021</v>
      </c>
      <c r="D54" s="2" t="s">
        <v>11</v>
      </c>
      <c r="E54" s="2" t="s">
        <v>35</v>
      </c>
      <c r="F54" s="2" t="s">
        <v>25</v>
      </c>
      <c r="G54" s="2" t="s">
        <v>14</v>
      </c>
      <c r="H54" s="2">
        <v>89.99</v>
      </c>
      <c r="I54" s="2">
        <v>1</v>
      </c>
      <c r="J54" s="2">
        <v>0</v>
      </c>
      <c r="K54" s="2">
        <v>17.098099999999988</v>
      </c>
    </row>
    <row r="55" spans="1:11" x14ac:dyDescent="0.25">
      <c r="A55" s="2">
        <f>YEAR([1]Data!$D55)</f>
        <v>2013</v>
      </c>
      <c r="B55" s="3">
        <v>41620</v>
      </c>
      <c r="C55" s="3">
        <v>41626</v>
      </c>
      <c r="D55" s="2" t="s">
        <v>15</v>
      </c>
      <c r="E55" s="2" t="s">
        <v>36</v>
      </c>
      <c r="F55" s="2" t="s">
        <v>30</v>
      </c>
      <c r="G55" s="2" t="s">
        <v>18</v>
      </c>
      <c r="H55" s="2">
        <v>15.260000000000002</v>
      </c>
      <c r="I55" s="2">
        <v>7</v>
      </c>
      <c r="J55" s="2">
        <v>0</v>
      </c>
      <c r="K55" s="2">
        <v>6.2566000000000006</v>
      </c>
    </row>
    <row r="56" spans="1:11" x14ac:dyDescent="0.25">
      <c r="A56" s="2">
        <f>YEAR([1]Data!$D56)</f>
        <v>2013</v>
      </c>
      <c r="B56" s="3">
        <v>41620</v>
      </c>
      <c r="C56" s="3">
        <v>41626</v>
      </c>
      <c r="D56" s="2" t="s">
        <v>15</v>
      </c>
      <c r="E56" s="2" t="s">
        <v>36</v>
      </c>
      <c r="F56" s="2" t="s">
        <v>30</v>
      </c>
      <c r="G56" s="2" t="s">
        <v>20</v>
      </c>
      <c r="H56" s="2">
        <v>1029.95</v>
      </c>
      <c r="I56" s="2">
        <v>5</v>
      </c>
      <c r="J56" s="2">
        <v>0</v>
      </c>
      <c r="K56" s="2">
        <v>298.68549999999999</v>
      </c>
    </row>
    <row r="57" spans="1:11" x14ac:dyDescent="0.25">
      <c r="A57" s="2">
        <f>YEAR([1]Data!$D57)</f>
        <v>2013</v>
      </c>
      <c r="B57" s="3">
        <v>41443</v>
      </c>
      <c r="C57" s="3">
        <v>41444</v>
      </c>
      <c r="D57" s="2" t="s">
        <v>11</v>
      </c>
      <c r="E57" s="2" t="s">
        <v>36</v>
      </c>
      <c r="F57" s="2" t="s">
        <v>30</v>
      </c>
      <c r="G57" s="2" t="s">
        <v>18</v>
      </c>
      <c r="H57" s="2">
        <v>208.56</v>
      </c>
      <c r="I57" s="2">
        <v>6</v>
      </c>
      <c r="J57" s="2">
        <v>0</v>
      </c>
      <c r="K57" s="2">
        <v>52.139999999999986</v>
      </c>
    </row>
    <row r="58" spans="1:11" x14ac:dyDescent="0.25">
      <c r="A58" s="2">
        <f>YEAR([1]Data!$D58)</f>
        <v>2013</v>
      </c>
      <c r="B58" s="3">
        <v>41443</v>
      </c>
      <c r="C58" s="3">
        <v>41444</v>
      </c>
      <c r="D58" s="2" t="s">
        <v>11</v>
      </c>
      <c r="E58" s="2" t="s">
        <v>36</v>
      </c>
      <c r="F58" s="2" t="s">
        <v>30</v>
      </c>
      <c r="G58" s="2" t="s">
        <v>18</v>
      </c>
      <c r="H58" s="2">
        <v>32.400000000000006</v>
      </c>
      <c r="I58" s="2">
        <v>5</v>
      </c>
      <c r="J58" s="2">
        <v>0</v>
      </c>
      <c r="K58" s="2">
        <v>15.552000000000001</v>
      </c>
    </row>
    <row r="59" spans="1:11" x14ac:dyDescent="0.25">
      <c r="A59" s="2">
        <f>YEAR([1]Data!$D59)</f>
        <v>2013</v>
      </c>
      <c r="B59" s="3">
        <v>41443</v>
      </c>
      <c r="C59" s="3">
        <v>41444</v>
      </c>
      <c r="D59" s="2" t="s">
        <v>11</v>
      </c>
      <c r="E59" s="2" t="s">
        <v>36</v>
      </c>
      <c r="F59" s="2" t="s">
        <v>30</v>
      </c>
      <c r="G59" s="2" t="s">
        <v>14</v>
      </c>
      <c r="H59" s="2">
        <v>319.41000000000003</v>
      </c>
      <c r="I59" s="2">
        <v>5</v>
      </c>
      <c r="J59" s="2">
        <v>0.1</v>
      </c>
      <c r="K59" s="2">
        <v>7.0980000000000061</v>
      </c>
    </row>
    <row r="60" spans="1:11" x14ac:dyDescent="0.25">
      <c r="A60" s="2">
        <f>YEAR([1]Data!$D60)</f>
        <v>2013</v>
      </c>
      <c r="B60" s="3">
        <v>41443</v>
      </c>
      <c r="C60" s="3">
        <v>41444</v>
      </c>
      <c r="D60" s="2" t="s">
        <v>11</v>
      </c>
      <c r="E60" s="2" t="s">
        <v>36</v>
      </c>
      <c r="F60" s="2" t="s">
        <v>30</v>
      </c>
      <c r="G60" s="2" t="s">
        <v>18</v>
      </c>
      <c r="H60" s="2">
        <v>14.56</v>
      </c>
      <c r="I60" s="2">
        <v>2</v>
      </c>
      <c r="J60" s="2">
        <v>0</v>
      </c>
      <c r="K60" s="2">
        <v>6.9888000000000003</v>
      </c>
    </row>
    <row r="61" spans="1:11" x14ac:dyDescent="0.25">
      <c r="A61" s="2">
        <f>YEAR([1]Data!$D61)</f>
        <v>2013</v>
      </c>
      <c r="B61" s="3">
        <v>41443</v>
      </c>
      <c r="C61" s="3">
        <v>41444</v>
      </c>
      <c r="D61" s="2" t="s">
        <v>11</v>
      </c>
      <c r="E61" s="2" t="s">
        <v>36</v>
      </c>
      <c r="F61" s="2" t="s">
        <v>30</v>
      </c>
      <c r="G61" s="2" t="s">
        <v>20</v>
      </c>
      <c r="H61" s="2">
        <v>30</v>
      </c>
      <c r="I61" s="2">
        <v>2</v>
      </c>
      <c r="J61" s="2">
        <v>0</v>
      </c>
      <c r="K61" s="2">
        <v>3.3000000000000007</v>
      </c>
    </row>
    <row r="62" spans="1:11" x14ac:dyDescent="0.25">
      <c r="A62" s="2">
        <f>YEAR([1]Data!$D62)</f>
        <v>2013</v>
      </c>
      <c r="B62" s="3">
        <v>41443</v>
      </c>
      <c r="C62" s="3">
        <v>41444</v>
      </c>
      <c r="D62" s="2" t="s">
        <v>11</v>
      </c>
      <c r="E62" s="2" t="s">
        <v>36</v>
      </c>
      <c r="F62" s="2" t="s">
        <v>30</v>
      </c>
      <c r="G62" s="2" t="s">
        <v>18</v>
      </c>
      <c r="H62" s="2">
        <v>48.480000000000004</v>
      </c>
      <c r="I62" s="2">
        <v>4</v>
      </c>
      <c r="J62" s="2">
        <v>0.2</v>
      </c>
      <c r="K62" s="2">
        <v>16.361999999999998</v>
      </c>
    </row>
    <row r="63" spans="1:11" x14ac:dyDescent="0.25">
      <c r="A63" s="2">
        <f>YEAR([1]Data!$D63)</f>
        <v>2013</v>
      </c>
      <c r="B63" s="3">
        <v>41443</v>
      </c>
      <c r="C63" s="3">
        <v>41444</v>
      </c>
      <c r="D63" s="2" t="s">
        <v>11</v>
      </c>
      <c r="E63" s="2" t="s">
        <v>36</v>
      </c>
      <c r="F63" s="2" t="s">
        <v>30</v>
      </c>
      <c r="G63" s="2" t="s">
        <v>18</v>
      </c>
      <c r="H63" s="2">
        <v>1.68</v>
      </c>
      <c r="I63" s="2">
        <v>1</v>
      </c>
      <c r="J63" s="2">
        <v>0</v>
      </c>
      <c r="K63" s="2">
        <v>0.84</v>
      </c>
    </row>
    <row r="64" spans="1:11" x14ac:dyDescent="0.25">
      <c r="A64" s="2">
        <f>YEAR([1]Data!$D64)</f>
        <v>2012</v>
      </c>
      <c r="B64" s="3">
        <v>41237</v>
      </c>
      <c r="C64" s="3">
        <v>41243</v>
      </c>
      <c r="D64" s="2" t="s">
        <v>11</v>
      </c>
      <c r="E64" s="2" t="s">
        <v>16</v>
      </c>
      <c r="F64" s="2" t="s">
        <v>17</v>
      </c>
      <c r="G64" s="2" t="s">
        <v>20</v>
      </c>
      <c r="H64" s="2">
        <v>13.98</v>
      </c>
      <c r="I64" s="2">
        <v>2</v>
      </c>
      <c r="J64" s="2">
        <v>0</v>
      </c>
      <c r="K64" s="2">
        <v>6.1512000000000011</v>
      </c>
    </row>
    <row r="65" spans="1:11" x14ac:dyDescent="0.25">
      <c r="A65" s="2">
        <f>YEAR([1]Data!$D65)</f>
        <v>2012</v>
      </c>
      <c r="B65" s="3">
        <v>41237</v>
      </c>
      <c r="C65" s="3">
        <v>41243</v>
      </c>
      <c r="D65" s="2" t="s">
        <v>11</v>
      </c>
      <c r="E65" s="2" t="s">
        <v>16</v>
      </c>
      <c r="F65" s="2" t="s">
        <v>17</v>
      </c>
      <c r="G65" s="2" t="s">
        <v>18</v>
      </c>
      <c r="H65" s="2">
        <v>25.824000000000002</v>
      </c>
      <c r="I65" s="2">
        <v>6</v>
      </c>
      <c r="J65" s="2">
        <v>0.2</v>
      </c>
      <c r="K65" s="2">
        <v>9.3612000000000002</v>
      </c>
    </row>
    <row r="66" spans="1:11" x14ac:dyDescent="0.25">
      <c r="A66" s="2">
        <f>YEAR([1]Data!$D66)</f>
        <v>2012</v>
      </c>
      <c r="B66" s="3">
        <v>41237</v>
      </c>
      <c r="C66" s="3">
        <v>41243</v>
      </c>
      <c r="D66" s="2" t="s">
        <v>11</v>
      </c>
      <c r="E66" s="2" t="s">
        <v>16</v>
      </c>
      <c r="F66" s="2" t="s">
        <v>17</v>
      </c>
      <c r="G66" s="2" t="s">
        <v>18</v>
      </c>
      <c r="H66" s="2">
        <v>146.72999999999999</v>
      </c>
      <c r="I66" s="2">
        <v>3</v>
      </c>
      <c r="J66" s="2">
        <v>0</v>
      </c>
      <c r="K66" s="2">
        <v>68.963099999999997</v>
      </c>
    </row>
    <row r="67" spans="1:11" x14ac:dyDescent="0.25">
      <c r="A67" s="2">
        <f>YEAR([1]Data!$D67)</f>
        <v>2012</v>
      </c>
      <c r="B67" s="3">
        <v>41237</v>
      </c>
      <c r="C67" s="3">
        <v>41243</v>
      </c>
      <c r="D67" s="2" t="s">
        <v>11</v>
      </c>
      <c r="E67" s="2" t="s">
        <v>16</v>
      </c>
      <c r="F67" s="2" t="s">
        <v>17</v>
      </c>
      <c r="G67" s="2" t="s">
        <v>14</v>
      </c>
      <c r="H67" s="2">
        <v>79.760000000000005</v>
      </c>
      <c r="I67" s="2">
        <v>4</v>
      </c>
      <c r="J67" s="2">
        <v>0</v>
      </c>
      <c r="K67" s="2">
        <v>22.332800000000006</v>
      </c>
    </row>
    <row r="68" spans="1:11" x14ac:dyDescent="0.25">
      <c r="A68" s="2">
        <f>YEAR([1]Data!$D68)</f>
        <v>2012</v>
      </c>
      <c r="B68" s="3">
        <v>41029</v>
      </c>
      <c r="C68" s="3">
        <v>41034</v>
      </c>
      <c r="D68" s="2" t="s">
        <v>23</v>
      </c>
      <c r="E68" s="2" t="s">
        <v>31</v>
      </c>
      <c r="F68" s="2" t="s">
        <v>25</v>
      </c>
      <c r="G68" s="2" t="s">
        <v>14</v>
      </c>
      <c r="H68" s="2">
        <v>213.11499999999998</v>
      </c>
      <c r="I68" s="2">
        <v>5</v>
      </c>
      <c r="J68" s="2">
        <v>0.3</v>
      </c>
      <c r="K68" s="2">
        <v>-15.222500000000011</v>
      </c>
    </row>
    <row r="69" spans="1:11" x14ac:dyDescent="0.25">
      <c r="A69" s="2">
        <f>YEAR([1]Data!$D69)</f>
        <v>2011</v>
      </c>
      <c r="B69" s="3">
        <v>40882</v>
      </c>
      <c r="C69" s="3">
        <v>40887</v>
      </c>
      <c r="D69" s="2" t="s">
        <v>15</v>
      </c>
      <c r="E69" s="2" t="s">
        <v>37</v>
      </c>
      <c r="F69" s="2" t="s">
        <v>17</v>
      </c>
      <c r="G69" s="2" t="s">
        <v>18</v>
      </c>
      <c r="H69" s="2">
        <v>1113.0240000000001</v>
      </c>
      <c r="I69" s="2">
        <v>8</v>
      </c>
      <c r="J69" s="2">
        <v>0.2</v>
      </c>
      <c r="K69" s="2">
        <v>111.30239999999998</v>
      </c>
    </row>
    <row r="70" spans="1:11" x14ac:dyDescent="0.25">
      <c r="A70" s="2">
        <f>YEAR([1]Data!$D70)</f>
        <v>2011</v>
      </c>
      <c r="B70" s="3">
        <v>40882</v>
      </c>
      <c r="C70" s="3">
        <v>40887</v>
      </c>
      <c r="D70" s="2" t="s">
        <v>15</v>
      </c>
      <c r="E70" s="2" t="s">
        <v>37</v>
      </c>
      <c r="F70" s="2" t="s">
        <v>17</v>
      </c>
      <c r="G70" s="2" t="s">
        <v>20</v>
      </c>
      <c r="H70" s="2">
        <v>167.96800000000002</v>
      </c>
      <c r="I70" s="2">
        <v>4</v>
      </c>
      <c r="J70" s="2">
        <v>0.2</v>
      </c>
      <c r="K70" s="2">
        <v>62.988</v>
      </c>
    </row>
    <row r="71" spans="1:11" x14ac:dyDescent="0.25">
      <c r="A71" s="2">
        <f>YEAR([1]Data!$D71)</f>
        <v>2013</v>
      </c>
      <c r="B71" s="3">
        <v>41430</v>
      </c>
      <c r="C71" s="3">
        <v>41432</v>
      </c>
      <c r="D71" s="2" t="s">
        <v>11</v>
      </c>
      <c r="E71" s="2" t="s">
        <v>38</v>
      </c>
      <c r="F71" s="2" t="s">
        <v>13</v>
      </c>
      <c r="G71" s="2" t="s">
        <v>18</v>
      </c>
      <c r="H71" s="2">
        <v>75.88</v>
      </c>
      <c r="I71" s="2">
        <v>2</v>
      </c>
      <c r="J71" s="2">
        <v>0</v>
      </c>
      <c r="K71" s="2">
        <v>35.663599999999995</v>
      </c>
    </row>
    <row r="72" spans="1:11" x14ac:dyDescent="0.25">
      <c r="A72" s="2">
        <f>YEAR([1]Data!$D72)</f>
        <v>2013</v>
      </c>
      <c r="B72" s="3">
        <v>41536</v>
      </c>
      <c r="C72" s="3">
        <v>41541</v>
      </c>
      <c r="D72" s="2" t="s">
        <v>11</v>
      </c>
      <c r="E72" s="2" t="s">
        <v>36</v>
      </c>
      <c r="F72" s="2" t="s">
        <v>30</v>
      </c>
      <c r="G72" s="2" t="s">
        <v>18</v>
      </c>
      <c r="H72" s="2">
        <v>4.6159999999999997</v>
      </c>
      <c r="I72" s="2">
        <v>1</v>
      </c>
      <c r="J72" s="2">
        <v>0.2</v>
      </c>
      <c r="K72" s="2">
        <v>1.7309999999999999</v>
      </c>
    </row>
    <row r="73" spans="1:11" x14ac:dyDescent="0.25">
      <c r="A73" s="2">
        <f>YEAR([1]Data!$D73)</f>
        <v>2014</v>
      </c>
      <c r="B73" s="3">
        <v>41897</v>
      </c>
      <c r="C73" s="3">
        <v>41900</v>
      </c>
      <c r="D73" s="2" t="s">
        <v>11</v>
      </c>
      <c r="E73" s="2" t="s">
        <v>33</v>
      </c>
      <c r="F73" s="2" t="s">
        <v>25</v>
      </c>
      <c r="G73" s="2" t="s">
        <v>18</v>
      </c>
      <c r="H73" s="2">
        <v>19.049999999999997</v>
      </c>
      <c r="I73" s="2">
        <v>3</v>
      </c>
      <c r="J73" s="2">
        <v>0</v>
      </c>
      <c r="K73" s="2">
        <v>8.7629999999999999</v>
      </c>
    </row>
    <row r="74" spans="1:11" x14ac:dyDescent="0.25">
      <c r="A74" s="2">
        <f>YEAR([1]Data!$D74)</f>
        <v>2012</v>
      </c>
      <c r="B74" s="3">
        <v>41025</v>
      </c>
      <c r="C74" s="3">
        <v>41031</v>
      </c>
      <c r="D74" s="2" t="s">
        <v>11</v>
      </c>
      <c r="E74" s="2" t="s">
        <v>39</v>
      </c>
      <c r="F74" s="2" t="s">
        <v>13</v>
      </c>
      <c r="G74" s="2" t="s">
        <v>14</v>
      </c>
      <c r="H74" s="2">
        <v>831.93600000000015</v>
      </c>
      <c r="I74" s="2">
        <v>8</v>
      </c>
      <c r="J74" s="2">
        <v>0.2</v>
      </c>
      <c r="K74" s="2">
        <v>-114.39120000000003</v>
      </c>
    </row>
    <row r="75" spans="1:11" x14ac:dyDescent="0.25">
      <c r="A75" s="2">
        <f>YEAR([1]Data!$D75)</f>
        <v>2012</v>
      </c>
      <c r="B75" s="3">
        <v>41025</v>
      </c>
      <c r="C75" s="3">
        <v>41031</v>
      </c>
      <c r="D75" s="2" t="s">
        <v>11</v>
      </c>
      <c r="E75" s="2" t="s">
        <v>39</v>
      </c>
      <c r="F75" s="2" t="s">
        <v>13</v>
      </c>
      <c r="G75" s="2" t="s">
        <v>14</v>
      </c>
      <c r="H75" s="2">
        <v>97.04</v>
      </c>
      <c r="I75" s="2">
        <v>2</v>
      </c>
      <c r="J75" s="2">
        <v>0.2</v>
      </c>
      <c r="K75" s="2">
        <v>1.2129999999999974</v>
      </c>
    </row>
    <row r="76" spans="1:11" x14ac:dyDescent="0.25">
      <c r="A76" s="2">
        <f>YEAR([1]Data!$D76)</f>
        <v>2012</v>
      </c>
      <c r="B76" s="3">
        <v>41025</v>
      </c>
      <c r="C76" s="3">
        <v>41031</v>
      </c>
      <c r="D76" s="2" t="s">
        <v>11</v>
      </c>
      <c r="E76" s="2" t="s">
        <v>39</v>
      </c>
      <c r="F76" s="2" t="s">
        <v>13</v>
      </c>
      <c r="G76" s="2" t="s">
        <v>18</v>
      </c>
      <c r="H76" s="2">
        <v>72.784000000000006</v>
      </c>
      <c r="I76" s="2">
        <v>1</v>
      </c>
      <c r="J76" s="2">
        <v>0.2</v>
      </c>
      <c r="K76" s="2">
        <v>-18.196000000000002</v>
      </c>
    </row>
    <row r="77" spans="1:11" x14ac:dyDescent="0.25">
      <c r="A77" s="2">
        <f>YEAR([1]Data!$D77)</f>
        <v>2014</v>
      </c>
      <c r="B77" s="3">
        <v>41983</v>
      </c>
      <c r="C77" s="3">
        <v>41985</v>
      </c>
      <c r="D77" s="2" t="s">
        <v>15</v>
      </c>
      <c r="E77" s="2" t="s">
        <v>24</v>
      </c>
      <c r="F77" s="2" t="s">
        <v>25</v>
      </c>
      <c r="G77" s="2" t="s">
        <v>18</v>
      </c>
      <c r="H77" s="2">
        <v>1.2479999999999998</v>
      </c>
      <c r="I77" s="2">
        <v>3</v>
      </c>
      <c r="J77" s="2">
        <v>0.8</v>
      </c>
      <c r="K77" s="2">
        <v>-1.9344000000000006</v>
      </c>
    </row>
    <row r="78" spans="1:11" x14ac:dyDescent="0.25">
      <c r="A78" s="2">
        <f>YEAR([1]Data!$D78)</f>
        <v>2014</v>
      </c>
      <c r="B78" s="3">
        <v>41983</v>
      </c>
      <c r="C78" s="3">
        <v>41985</v>
      </c>
      <c r="D78" s="2" t="s">
        <v>15</v>
      </c>
      <c r="E78" s="2" t="s">
        <v>24</v>
      </c>
      <c r="F78" s="2" t="s">
        <v>25</v>
      </c>
      <c r="G78" s="2" t="s">
        <v>14</v>
      </c>
      <c r="H78" s="2">
        <v>9.7080000000000002</v>
      </c>
      <c r="I78" s="2">
        <v>3</v>
      </c>
      <c r="J78" s="2">
        <v>0.6</v>
      </c>
      <c r="K78" s="2">
        <v>-5.8248000000000015</v>
      </c>
    </row>
    <row r="79" spans="1:11" x14ac:dyDescent="0.25">
      <c r="A79" s="2">
        <f>YEAR([1]Data!$D79)</f>
        <v>2014</v>
      </c>
      <c r="B79" s="3">
        <v>41983</v>
      </c>
      <c r="C79" s="3">
        <v>41985</v>
      </c>
      <c r="D79" s="2" t="s">
        <v>15</v>
      </c>
      <c r="E79" s="2" t="s">
        <v>24</v>
      </c>
      <c r="F79" s="2" t="s">
        <v>25</v>
      </c>
      <c r="G79" s="2" t="s">
        <v>18</v>
      </c>
      <c r="H79" s="2">
        <v>27.240000000000002</v>
      </c>
      <c r="I79" s="2">
        <v>3</v>
      </c>
      <c r="J79" s="2">
        <v>0.2</v>
      </c>
      <c r="K79" s="2">
        <v>2.724000000000002</v>
      </c>
    </row>
    <row r="80" spans="1:11" x14ac:dyDescent="0.25">
      <c r="A80" s="2">
        <f>YEAR([1]Data!$D80)</f>
        <v>2011</v>
      </c>
      <c r="B80" s="3">
        <v>40873</v>
      </c>
      <c r="C80" s="3">
        <v>40878</v>
      </c>
      <c r="D80" s="2" t="s">
        <v>11</v>
      </c>
      <c r="E80" s="2" t="s">
        <v>24</v>
      </c>
      <c r="F80" s="2" t="s">
        <v>25</v>
      </c>
      <c r="G80" s="2" t="s">
        <v>14</v>
      </c>
      <c r="H80" s="2">
        <v>19.3</v>
      </c>
      <c r="I80" s="2">
        <v>5</v>
      </c>
      <c r="J80" s="2">
        <v>0.6</v>
      </c>
      <c r="K80" s="2">
        <v>-14.475000000000001</v>
      </c>
    </row>
    <row r="81" spans="1:11" x14ac:dyDescent="0.25">
      <c r="A81" s="2">
        <f>YEAR([1]Data!$D81)</f>
        <v>2013</v>
      </c>
      <c r="B81" s="3">
        <v>41438</v>
      </c>
      <c r="C81" s="3">
        <v>41441</v>
      </c>
      <c r="D81" s="2" t="s">
        <v>15</v>
      </c>
      <c r="E81" s="2" t="s">
        <v>40</v>
      </c>
      <c r="F81" s="2" t="s">
        <v>13</v>
      </c>
      <c r="G81" s="2" t="s">
        <v>18</v>
      </c>
      <c r="H81" s="2">
        <v>208.16</v>
      </c>
      <c r="I81" s="2">
        <v>1</v>
      </c>
      <c r="J81" s="2">
        <v>0</v>
      </c>
      <c r="K81" s="2">
        <v>56.20320000000001</v>
      </c>
    </row>
    <row r="82" spans="1:11" x14ac:dyDescent="0.25">
      <c r="A82" s="2">
        <f>YEAR([1]Data!$D82)</f>
        <v>2013</v>
      </c>
      <c r="B82" s="3">
        <v>41438</v>
      </c>
      <c r="C82" s="3">
        <v>41441</v>
      </c>
      <c r="D82" s="2" t="s">
        <v>15</v>
      </c>
      <c r="E82" s="2" t="s">
        <v>40</v>
      </c>
      <c r="F82" s="2" t="s">
        <v>13</v>
      </c>
      <c r="G82" s="2" t="s">
        <v>18</v>
      </c>
      <c r="H82" s="2">
        <v>16.740000000000002</v>
      </c>
      <c r="I82" s="2">
        <v>3</v>
      </c>
      <c r="J82" s="2">
        <v>0</v>
      </c>
      <c r="K82" s="2">
        <v>8.0351999999999997</v>
      </c>
    </row>
    <row r="83" spans="1:11" x14ac:dyDescent="0.25">
      <c r="A83" s="2">
        <f>YEAR([1]Data!$D83)</f>
        <v>2011</v>
      </c>
      <c r="B83" s="3">
        <v>40828</v>
      </c>
      <c r="C83" s="3">
        <v>40832</v>
      </c>
      <c r="D83" s="2" t="s">
        <v>11</v>
      </c>
      <c r="E83" s="2" t="s">
        <v>16</v>
      </c>
      <c r="F83" s="2" t="s">
        <v>17</v>
      </c>
      <c r="G83" s="2" t="s">
        <v>18</v>
      </c>
      <c r="H83" s="2">
        <v>14.9</v>
      </c>
      <c r="I83" s="2">
        <v>5</v>
      </c>
      <c r="J83" s="2">
        <v>0</v>
      </c>
      <c r="K83" s="2">
        <v>4.1720000000000006</v>
      </c>
    </row>
    <row r="84" spans="1:11" x14ac:dyDescent="0.25">
      <c r="A84" s="2">
        <f>YEAR([1]Data!$D84)</f>
        <v>2011</v>
      </c>
      <c r="B84" s="3">
        <v>40828</v>
      </c>
      <c r="C84" s="3">
        <v>40832</v>
      </c>
      <c r="D84" s="2" t="s">
        <v>11</v>
      </c>
      <c r="E84" s="2" t="s">
        <v>16</v>
      </c>
      <c r="F84" s="2" t="s">
        <v>17</v>
      </c>
      <c r="G84" s="2" t="s">
        <v>18</v>
      </c>
      <c r="H84" s="2">
        <v>21.39</v>
      </c>
      <c r="I84" s="2">
        <v>1</v>
      </c>
      <c r="J84" s="2">
        <v>0</v>
      </c>
      <c r="K84" s="2">
        <v>6.2030999999999992</v>
      </c>
    </row>
    <row r="85" spans="1:11" x14ac:dyDescent="0.25">
      <c r="A85" s="2">
        <f>YEAR([1]Data!$D85)</f>
        <v>2012</v>
      </c>
      <c r="B85" s="3">
        <v>41155</v>
      </c>
      <c r="C85" s="3">
        <v>41160</v>
      </c>
      <c r="D85" s="2" t="s">
        <v>15</v>
      </c>
      <c r="E85" s="2" t="s">
        <v>21</v>
      </c>
      <c r="F85" s="2" t="s">
        <v>13</v>
      </c>
      <c r="G85" s="2" t="s">
        <v>18</v>
      </c>
      <c r="H85" s="2">
        <v>200.98400000000004</v>
      </c>
      <c r="I85" s="2">
        <v>7</v>
      </c>
      <c r="J85" s="2">
        <v>0.2</v>
      </c>
      <c r="K85" s="2">
        <v>62.807499999999976</v>
      </c>
    </row>
    <row r="86" spans="1:11" x14ac:dyDescent="0.25">
      <c r="A86" s="2">
        <f>YEAR([1]Data!$D86)</f>
        <v>2014</v>
      </c>
      <c r="B86" s="3">
        <v>41957</v>
      </c>
      <c r="C86" s="3">
        <v>41960</v>
      </c>
      <c r="D86" s="2" t="s">
        <v>23</v>
      </c>
      <c r="E86" s="2" t="s">
        <v>31</v>
      </c>
      <c r="F86" s="2" t="s">
        <v>25</v>
      </c>
      <c r="G86" s="2" t="s">
        <v>18</v>
      </c>
      <c r="H86" s="2">
        <v>230.376</v>
      </c>
      <c r="I86" s="2">
        <v>3</v>
      </c>
      <c r="J86" s="2">
        <v>0.2</v>
      </c>
      <c r="K86" s="2">
        <v>-48.954900000000002</v>
      </c>
    </row>
    <row r="87" spans="1:11" x14ac:dyDescent="0.25">
      <c r="A87" s="2">
        <f>YEAR([1]Data!$D87)</f>
        <v>2014</v>
      </c>
      <c r="B87" s="3">
        <v>41788</v>
      </c>
      <c r="C87" s="3">
        <v>41790</v>
      </c>
      <c r="D87" s="2" t="s">
        <v>11</v>
      </c>
      <c r="E87" s="2" t="s">
        <v>41</v>
      </c>
      <c r="F87" s="2" t="s">
        <v>13</v>
      </c>
      <c r="G87" s="2" t="s">
        <v>14</v>
      </c>
      <c r="H87" s="2">
        <v>301.95999999999998</v>
      </c>
      <c r="I87" s="2">
        <v>2</v>
      </c>
      <c r="J87" s="2">
        <v>0</v>
      </c>
      <c r="K87" s="2">
        <v>33.215599999999995</v>
      </c>
    </row>
    <row r="88" spans="1:11" x14ac:dyDescent="0.25">
      <c r="A88" s="2">
        <f>YEAR([1]Data!$D88)</f>
        <v>2014</v>
      </c>
      <c r="B88" s="3">
        <v>41939</v>
      </c>
      <c r="C88" s="3">
        <v>41946</v>
      </c>
      <c r="D88" s="2" t="s">
        <v>11</v>
      </c>
      <c r="E88" s="2" t="s">
        <v>32</v>
      </c>
      <c r="F88" s="2" t="s">
        <v>25</v>
      </c>
      <c r="G88" s="2" t="s">
        <v>20</v>
      </c>
      <c r="H88" s="2">
        <v>19.989999999999998</v>
      </c>
      <c r="I88" s="2">
        <v>1</v>
      </c>
      <c r="J88" s="2">
        <v>0</v>
      </c>
      <c r="K88" s="2">
        <v>6.796599999999998</v>
      </c>
    </row>
    <row r="89" spans="1:11" x14ac:dyDescent="0.25">
      <c r="A89" s="2">
        <f>YEAR([1]Data!$D89)</f>
        <v>2014</v>
      </c>
      <c r="B89" s="3">
        <v>41939</v>
      </c>
      <c r="C89" s="3">
        <v>41946</v>
      </c>
      <c r="D89" s="2" t="s">
        <v>11</v>
      </c>
      <c r="E89" s="2" t="s">
        <v>32</v>
      </c>
      <c r="F89" s="2" t="s">
        <v>25</v>
      </c>
      <c r="G89" s="2" t="s">
        <v>18</v>
      </c>
      <c r="H89" s="2">
        <v>6.16</v>
      </c>
      <c r="I89" s="2">
        <v>2</v>
      </c>
      <c r="J89" s="2">
        <v>0</v>
      </c>
      <c r="K89" s="2">
        <v>2.9567999999999999</v>
      </c>
    </row>
    <row r="90" spans="1:11" x14ac:dyDescent="0.25">
      <c r="A90" s="2">
        <f>YEAR([1]Data!$D90)</f>
        <v>2013</v>
      </c>
      <c r="B90" s="3">
        <v>41370</v>
      </c>
      <c r="C90" s="3">
        <v>41375</v>
      </c>
      <c r="D90" s="2" t="s">
        <v>23</v>
      </c>
      <c r="E90" s="2" t="s">
        <v>24</v>
      </c>
      <c r="F90" s="2" t="s">
        <v>25</v>
      </c>
      <c r="G90" s="2" t="s">
        <v>18</v>
      </c>
      <c r="H90" s="2">
        <v>158.36800000000002</v>
      </c>
      <c r="I90" s="2">
        <v>7</v>
      </c>
      <c r="J90" s="2">
        <v>0.2</v>
      </c>
      <c r="K90" s="2">
        <v>13.857199999999999</v>
      </c>
    </row>
    <row r="91" spans="1:11" x14ac:dyDescent="0.25">
      <c r="A91" s="2">
        <f>YEAR([1]Data!$D91)</f>
        <v>2013</v>
      </c>
      <c r="B91" s="3">
        <v>41535</v>
      </c>
      <c r="C91" s="3">
        <v>41540</v>
      </c>
      <c r="D91" s="2" t="s">
        <v>15</v>
      </c>
      <c r="E91" s="2" t="s">
        <v>16</v>
      </c>
      <c r="F91" s="2" t="s">
        <v>17</v>
      </c>
      <c r="G91" s="2" t="s">
        <v>18</v>
      </c>
      <c r="H91" s="2">
        <v>20.100000000000001</v>
      </c>
      <c r="I91" s="2">
        <v>3</v>
      </c>
      <c r="J91" s="2">
        <v>0</v>
      </c>
      <c r="K91" s="2">
        <v>6.6329999999999982</v>
      </c>
    </row>
    <row r="92" spans="1:11" x14ac:dyDescent="0.25">
      <c r="A92" s="2">
        <f>YEAR([1]Data!$D92)</f>
        <v>2013</v>
      </c>
      <c r="B92" s="3">
        <v>41535</v>
      </c>
      <c r="C92" s="3">
        <v>41540</v>
      </c>
      <c r="D92" s="2" t="s">
        <v>15</v>
      </c>
      <c r="E92" s="2" t="s">
        <v>16</v>
      </c>
      <c r="F92" s="2" t="s">
        <v>17</v>
      </c>
      <c r="G92" s="2" t="s">
        <v>20</v>
      </c>
      <c r="H92" s="2">
        <v>73.584000000000003</v>
      </c>
      <c r="I92" s="2">
        <v>2</v>
      </c>
      <c r="J92" s="2">
        <v>0.2</v>
      </c>
      <c r="K92" s="2">
        <v>8.2781999999999982</v>
      </c>
    </row>
    <row r="93" spans="1:11" x14ac:dyDescent="0.25">
      <c r="A93" s="2">
        <f>YEAR([1]Data!$D93)</f>
        <v>2013</v>
      </c>
      <c r="B93" s="3">
        <v>41535</v>
      </c>
      <c r="C93" s="3">
        <v>41540</v>
      </c>
      <c r="D93" s="2" t="s">
        <v>15</v>
      </c>
      <c r="E93" s="2" t="s">
        <v>16</v>
      </c>
      <c r="F93" s="2" t="s">
        <v>17</v>
      </c>
      <c r="G93" s="2" t="s">
        <v>18</v>
      </c>
      <c r="H93" s="2">
        <v>6.48</v>
      </c>
      <c r="I93" s="2">
        <v>1</v>
      </c>
      <c r="J93" s="2">
        <v>0</v>
      </c>
      <c r="K93" s="2">
        <v>3.1104000000000003</v>
      </c>
    </row>
    <row r="94" spans="1:11" x14ac:dyDescent="0.25">
      <c r="A94" s="2">
        <f>YEAR([1]Data!$D94)</f>
        <v>2012</v>
      </c>
      <c r="B94" s="3">
        <v>40939</v>
      </c>
      <c r="C94" s="3">
        <v>40944</v>
      </c>
      <c r="D94" s="2" t="s">
        <v>11</v>
      </c>
      <c r="E94" s="2" t="s">
        <v>32</v>
      </c>
      <c r="F94" s="2" t="s">
        <v>25</v>
      </c>
      <c r="G94" s="2" t="s">
        <v>18</v>
      </c>
      <c r="H94" s="2">
        <v>12.96</v>
      </c>
      <c r="I94" s="2">
        <v>2</v>
      </c>
      <c r="J94" s="2">
        <v>0</v>
      </c>
      <c r="K94" s="2">
        <v>6.2208000000000006</v>
      </c>
    </row>
    <row r="95" spans="1:11" x14ac:dyDescent="0.25">
      <c r="A95" s="2">
        <f>YEAR([1]Data!$D95)</f>
        <v>2012</v>
      </c>
      <c r="B95" s="3">
        <v>40939</v>
      </c>
      <c r="C95" s="3">
        <v>40944</v>
      </c>
      <c r="D95" s="2" t="s">
        <v>11</v>
      </c>
      <c r="E95" s="2" t="s">
        <v>32</v>
      </c>
      <c r="F95" s="2" t="s">
        <v>25</v>
      </c>
      <c r="G95" s="2" t="s">
        <v>14</v>
      </c>
      <c r="H95" s="2">
        <v>53.34</v>
      </c>
      <c r="I95" s="2">
        <v>3</v>
      </c>
      <c r="J95" s="2">
        <v>0</v>
      </c>
      <c r="K95" s="2">
        <v>16.535399999999996</v>
      </c>
    </row>
    <row r="96" spans="1:11" x14ac:dyDescent="0.25">
      <c r="A96" s="2">
        <f>YEAR([1]Data!$D96)</f>
        <v>2012</v>
      </c>
      <c r="B96" s="3">
        <v>40939</v>
      </c>
      <c r="C96" s="3">
        <v>40944</v>
      </c>
      <c r="D96" s="2" t="s">
        <v>11</v>
      </c>
      <c r="E96" s="2" t="s">
        <v>32</v>
      </c>
      <c r="F96" s="2" t="s">
        <v>25</v>
      </c>
      <c r="G96" s="2" t="s">
        <v>18</v>
      </c>
      <c r="H96" s="2">
        <v>32.96</v>
      </c>
      <c r="I96" s="2">
        <v>2</v>
      </c>
      <c r="J96" s="2">
        <v>0</v>
      </c>
      <c r="K96" s="2">
        <v>16.150400000000001</v>
      </c>
    </row>
    <row r="97" spans="1:11" x14ac:dyDescent="0.25">
      <c r="A97" s="2">
        <f>YEAR([1]Data!$D97)</f>
        <v>2014</v>
      </c>
      <c r="B97" s="3">
        <v>41950</v>
      </c>
      <c r="C97" s="3">
        <v>41956</v>
      </c>
      <c r="D97" s="2" t="s">
        <v>23</v>
      </c>
      <c r="E97" s="2" t="s">
        <v>42</v>
      </c>
      <c r="F97" s="2" t="s">
        <v>17</v>
      </c>
      <c r="G97" s="2" t="s">
        <v>18</v>
      </c>
      <c r="H97" s="2">
        <v>5.6820000000000013</v>
      </c>
      <c r="I97" s="2">
        <v>1</v>
      </c>
      <c r="J97" s="2">
        <v>0.7</v>
      </c>
      <c r="K97" s="2">
        <v>-3.7880000000000003</v>
      </c>
    </row>
    <row r="98" spans="1:11" x14ac:dyDescent="0.25">
      <c r="A98" s="2">
        <f>YEAR([1]Data!$D98)</f>
        <v>2014</v>
      </c>
      <c r="B98" s="3">
        <v>41953</v>
      </c>
      <c r="C98" s="3">
        <v>41955</v>
      </c>
      <c r="D98" s="2" t="s">
        <v>23</v>
      </c>
      <c r="E98" s="2" t="s">
        <v>36</v>
      </c>
      <c r="F98" s="2" t="s">
        <v>30</v>
      </c>
      <c r="G98" s="2" t="s">
        <v>14</v>
      </c>
      <c r="H98" s="2">
        <v>96.53</v>
      </c>
      <c r="I98" s="2">
        <v>7</v>
      </c>
      <c r="J98" s="2">
        <v>0</v>
      </c>
      <c r="K98" s="2">
        <v>40.5426</v>
      </c>
    </row>
    <row r="99" spans="1:11" x14ac:dyDescent="0.25">
      <c r="A99" s="2">
        <f>YEAR([1]Data!$D99)</f>
        <v>2014</v>
      </c>
      <c r="B99" s="3">
        <v>41808</v>
      </c>
      <c r="C99" s="3">
        <v>41811</v>
      </c>
      <c r="D99" s="2" t="s">
        <v>11</v>
      </c>
      <c r="E99" s="2" t="s">
        <v>16</v>
      </c>
      <c r="F99" s="2" t="s">
        <v>17</v>
      </c>
      <c r="G99" s="2" t="s">
        <v>18</v>
      </c>
      <c r="H99" s="2">
        <v>51.311999999999998</v>
      </c>
      <c r="I99" s="2">
        <v>3</v>
      </c>
      <c r="J99" s="2">
        <v>0.2</v>
      </c>
      <c r="K99" s="2">
        <v>17.959199999999999</v>
      </c>
    </row>
    <row r="100" spans="1:11" x14ac:dyDescent="0.25">
      <c r="A100" s="2">
        <f>YEAR([1]Data!$D100)</f>
        <v>2013</v>
      </c>
      <c r="B100" s="3">
        <v>41524</v>
      </c>
      <c r="C100" s="3">
        <v>41529</v>
      </c>
      <c r="D100" s="2" t="s">
        <v>15</v>
      </c>
      <c r="E100" s="2" t="s">
        <v>32</v>
      </c>
      <c r="F100" s="2" t="s">
        <v>25</v>
      </c>
      <c r="G100" s="2" t="s">
        <v>18</v>
      </c>
      <c r="H100" s="2">
        <v>77.88</v>
      </c>
      <c r="I100" s="2">
        <v>6</v>
      </c>
      <c r="J100" s="2">
        <v>0</v>
      </c>
      <c r="K100" s="2">
        <v>22.585199999999993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27ABA-9D87-4272-B7E6-AA414C671B4F}">
  <dimension ref="A1:O100"/>
  <sheetViews>
    <sheetView topLeftCell="A64" workbookViewId="0">
      <selection activeCell="Q80" sqref="Q80"/>
    </sheetView>
  </sheetViews>
  <sheetFormatPr defaultRowHeight="15" x14ac:dyDescent="0.25"/>
  <cols>
    <col min="1" max="1" width="5.140625" bestFit="1" customWidth="1"/>
    <col min="2" max="2" width="11.28515625" bestFit="1" customWidth="1"/>
    <col min="3" max="3" width="10.42578125" bestFit="1" customWidth="1"/>
    <col min="4" max="4" width="11.7109375" bestFit="1" customWidth="1"/>
    <col min="5" max="5" width="14.140625" bestFit="1" customWidth="1"/>
    <col min="6" max="6" width="7.42578125" bestFit="1" customWidth="1"/>
    <col min="7" max="7" width="14.28515625" bestFit="1" customWidth="1"/>
    <col min="8" max="9" width="9" bestFit="1" customWidth="1"/>
    <col min="11" max="11" width="10.7109375" bestFit="1" customWidth="1"/>
  </cols>
  <sheetData>
    <row r="1" spans="1:15" ht="15.75" x14ac:dyDescent="0.25">
      <c r="A1" s="1" t="s">
        <v>0</v>
      </c>
      <c r="B1" s="1" t="s">
        <v>1</v>
      </c>
      <c r="C1" s="10" t="s">
        <v>2</v>
      </c>
      <c r="D1" s="10" t="s">
        <v>3</v>
      </c>
      <c r="E1" s="10" t="s">
        <v>4</v>
      </c>
      <c r="F1" s="10" t="s">
        <v>5</v>
      </c>
      <c r="G1" s="10" t="s">
        <v>6</v>
      </c>
      <c r="H1" s="1" t="s">
        <v>7</v>
      </c>
      <c r="I1" s="1" t="s">
        <v>8</v>
      </c>
      <c r="J1" s="1" t="s">
        <v>9</v>
      </c>
      <c r="K1" s="1" t="s">
        <v>10</v>
      </c>
    </row>
    <row r="2" spans="1:15" x14ac:dyDescent="0.25">
      <c r="A2" s="2">
        <f>YEAR([1]Data!$D2)</f>
        <v>2013</v>
      </c>
      <c r="B2" s="3">
        <v>41587</v>
      </c>
      <c r="C2" s="11">
        <v>41590</v>
      </c>
      <c r="D2" s="12" t="s">
        <v>11</v>
      </c>
      <c r="E2" s="12" t="s">
        <v>12</v>
      </c>
      <c r="F2" s="12" t="s">
        <v>13</v>
      </c>
      <c r="G2" s="12" t="s">
        <v>14</v>
      </c>
      <c r="H2" s="2">
        <v>261.95999999999998</v>
      </c>
      <c r="I2" s="2">
        <v>2</v>
      </c>
      <c r="J2" s="2">
        <v>0</v>
      </c>
      <c r="K2" s="2">
        <v>41.913600000000002</v>
      </c>
    </row>
    <row r="3" spans="1:15" x14ac:dyDescent="0.25">
      <c r="A3" s="2">
        <f>YEAR([1]Data!$D3)</f>
        <v>2013</v>
      </c>
      <c r="B3" s="3">
        <v>41587</v>
      </c>
      <c r="C3" s="3">
        <v>41590</v>
      </c>
      <c r="D3" s="2" t="s">
        <v>11</v>
      </c>
      <c r="E3" s="2" t="s">
        <v>12</v>
      </c>
      <c r="F3" s="2" t="s">
        <v>13</v>
      </c>
      <c r="G3" s="2" t="s">
        <v>14</v>
      </c>
      <c r="H3" s="2">
        <v>731.93999999999994</v>
      </c>
      <c r="I3" s="2">
        <v>3</v>
      </c>
      <c r="J3" s="2">
        <v>0</v>
      </c>
      <c r="K3" s="2">
        <v>219.58199999999997</v>
      </c>
    </row>
    <row r="4" spans="1:15" x14ac:dyDescent="0.25">
      <c r="A4" s="2">
        <f>YEAR([1]Data!$D4)</f>
        <v>2013</v>
      </c>
      <c r="B4" s="3">
        <v>41438</v>
      </c>
      <c r="C4" s="3">
        <v>41442</v>
      </c>
      <c r="D4" s="2" t="s">
        <v>15</v>
      </c>
      <c r="E4" s="2" t="s">
        <v>16</v>
      </c>
      <c r="F4" s="2" t="s">
        <v>17</v>
      </c>
      <c r="G4" s="2" t="s">
        <v>18</v>
      </c>
      <c r="H4" s="2">
        <v>14.62</v>
      </c>
      <c r="I4" s="2">
        <v>2</v>
      </c>
      <c r="J4" s="2">
        <v>0</v>
      </c>
      <c r="K4" s="2">
        <v>6.8713999999999995</v>
      </c>
    </row>
    <row r="5" spans="1:15" x14ac:dyDescent="0.25">
      <c r="A5" s="2">
        <f>YEAR([1]Data!$D5)</f>
        <v>2012</v>
      </c>
      <c r="B5" s="3">
        <v>41193</v>
      </c>
      <c r="C5" s="3">
        <v>41200</v>
      </c>
      <c r="D5" s="13" t="s">
        <v>11</v>
      </c>
      <c r="E5" s="13" t="s">
        <v>19</v>
      </c>
      <c r="F5" s="13" t="s">
        <v>13</v>
      </c>
      <c r="G5" s="2" t="s">
        <v>14</v>
      </c>
      <c r="H5" s="2">
        <v>957.57749999999999</v>
      </c>
      <c r="I5" s="8">
        <v>5</v>
      </c>
      <c r="J5" s="8">
        <v>0.45</v>
      </c>
      <c r="K5" s="2">
        <v>-383.03100000000006</v>
      </c>
    </row>
    <row r="6" spans="1:15" x14ac:dyDescent="0.25">
      <c r="A6" s="2">
        <f>YEAR([1]Data!$D6)</f>
        <v>2012</v>
      </c>
      <c r="B6" s="3">
        <v>41193</v>
      </c>
      <c r="C6" s="3">
        <v>41200</v>
      </c>
      <c r="D6" s="13" t="s">
        <v>11</v>
      </c>
      <c r="E6" s="13" t="s">
        <v>19</v>
      </c>
      <c r="F6" s="13" t="s">
        <v>13</v>
      </c>
      <c r="G6" s="2" t="s">
        <v>18</v>
      </c>
      <c r="H6" s="2">
        <v>22.368000000000002</v>
      </c>
      <c r="I6" s="8">
        <v>2</v>
      </c>
      <c r="J6" s="8">
        <v>0.2</v>
      </c>
      <c r="K6" s="2">
        <v>2.5163999999999991</v>
      </c>
      <c r="N6" t="s">
        <v>43</v>
      </c>
      <c r="O6" t="s">
        <v>44</v>
      </c>
    </row>
    <row r="7" spans="1:15" x14ac:dyDescent="0.25">
      <c r="A7" s="2">
        <f>YEAR([1]Data!$D7)</f>
        <v>2011</v>
      </c>
      <c r="B7" s="3">
        <v>40703</v>
      </c>
      <c r="C7" s="3">
        <v>40708</v>
      </c>
      <c r="D7" s="13" t="s">
        <v>11</v>
      </c>
      <c r="E7" s="13" t="s">
        <v>16</v>
      </c>
      <c r="F7" s="13" t="s">
        <v>17</v>
      </c>
      <c r="G7" s="2" t="s">
        <v>14</v>
      </c>
      <c r="H7" s="2">
        <v>48.86</v>
      </c>
      <c r="I7" s="8">
        <v>7</v>
      </c>
      <c r="J7" s="8">
        <v>0</v>
      </c>
      <c r="K7" s="2">
        <v>14.169399999999996</v>
      </c>
      <c r="N7" t="s">
        <v>45</v>
      </c>
      <c r="O7">
        <v>155</v>
      </c>
    </row>
    <row r="8" spans="1:15" x14ac:dyDescent="0.25">
      <c r="A8" s="2">
        <f>YEAR([1]Data!$D8)</f>
        <v>2011</v>
      </c>
      <c r="B8" s="9">
        <v>40703</v>
      </c>
      <c r="C8" s="3">
        <v>40708</v>
      </c>
      <c r="D8" s="7" t="s">
        <v>11</v>
      </c>
      <c r="E8" s="7" t="s">
        <v>16</v>
      </c>
      <c r="F8" s="7" t="s">
        <v>17</v>
      </c>
      <c r="G8" s="7" t="s">
        <v>18</v>
      </c>
      <c r="H8" s="7">
        <v>7.28</v>
      </c>
      <c r="I8" s="8">
        <v>4</v>
      </c>
      <c r="J8" s="8">
        <v>0</v>
      </c>
      <c r="K8" s="2">
        <v>1.9656000000000002</v>
      </c>
      <c r="N8" t="s">
        <v>46</v>
      </c>
      <c r="O8">
        <v>456</v>
      </c>
    </row>
    <row r="9" spans="1:15" x14ac:dyDescent="0.25">
      <c r="A9" s="2">
        <f>YEAR([1]Data!$D9)</f>
        <v>2011</v>
      </c>
      <c r="B9" s="9">
        <v>40703</v>
      </c>
      <c r="C9" s="3">
        <v>40708</v>
      </c>
      <c r="D9" s="7" t="s">
        <v>11</v>
      </c>
      <c r="E9" s="7" t="s">
        <v>16</v>
      </c>
      <c r="F9" s="7" t="s">
        <v>17</v>
      </c>
      <c r="G9" s="7" t="s">
        <v>20</v>
      </c>
      <c r="H9" s="7">
        <v>907.15200000000004</v>
      </c>
      <c r="I9" s="8">
        <v>6</v>
      </c>
      <c r="J9" s="8">
        <v>0.2</v>
      </c>
      <c r="K9" s="2">
        <v>90.715200000000038</v>
      </c>
      <c r="N9" t="s">
        <v>47</v>
      </c>
      <c r="O9">
        <v>789</v>
      </c>
    </row>
    <row r="10" spans="1:15" x14ac:dyDescent="0.25">
      <c r="A10" s="2">
        <f>YEAR([1]Data!$D10)</f>
        <v>2011</v>
      </c>
      <c r="B10" s="9">
        <v>40703</v>
      </c>
      <c r="C10" s="3">
        <v>40708</v>
      </c>
      <c r="D10" s="7" t="s">
        <v>11</v>
      </c>
      <c r="E10" s="7" t="s">
        <v>16</v>
      </c>
      <c r="F10" s="7" t="s">
        <v>17</v>
      </c>
      <c r="G10" s="7" t="s">
        <v>18</v>
      </c>
      <c r="H10" s="7">
        <v>18.504000000000001</v>
      </c>
      <c r="I10" s="8">
        <v>3</v>
      </c>
      <c r="J10" s="8">
        <v>0.2</v>
      </c>
      <c r="K10" s="2">
        <v>5.7824999999999998</v>
      </c>
    </row>
    <row r="11" spans="1:15" x14ac:dyDescent="0.25">
      <c r="A11" s="2">
        <f>YEAR([1]Data!$D11)</f>
        <v>2011</v>
      </c>
      <c r="B11" s="9">
        <v>40703</v>
      </c>
      <c r="C11" s="3">
        <v>40708</v>
      </c>
      <c r="D11" s="7" t="s">
        <v>11</v>
      </c>
      <c r="E11" s="7" t="s">
        <v>16</v>
      </c>
      <c r="F11" s="7" t="s">
        <v>17</v>
      </c>
      <c r="G11" s="7" t="s">
        <v>18</v>
      </c>
      <c r="H11" s="7">
        <v>114.9</v>
      </c>
      <c r="I11" s="8">
        <v>5</v>
      </c>
      <c r="J11" s="8">
        <v>0</v>
      </c>
      <c r="K11" s="2">
        <v>34.469999999999992</v>
      </c>
    </row>
    <row r="12" spans="1:15" x14ac:dyDescent="0.25">
      <c r="A12" s="2">
        <f>YEAR([1]Data!$D12)</f>
        <v>2011</v>
      </c>
      <c r="B12" s="9">
        <v>40703</v>
      </c>
      <c r="C12" s="3">
        <v>40708</v>
      </c>
      <c r="D12" s="7" t="s">
        <v>11</v>
      </c>
      <c r="E12" s="7" t="s">
        <v>16</v>
      </c>
      <c r="F12" s="7" t="s">
        <v>17</v>
      </c>
      <c r="G12" s="7" t="s">
        <v>14</v>
      </c>
      <c r="H12" s="7">
        <v>1706.1840000000002</v>
      </c>
      <c r="I12" s="8">
        <v>9</v>
      </c>
      <c r="J12" s="8">
        <v>0.2</v>
      </c>
      <c r="K12" s="2">
        <v>85.309199999999805</v>
      </c>
    </row>
    <row r="13" spans="1:15" x14ac:dyDescent="0.25">
      <c r="A13" s="2">
        <f>YEAR([1]Data!$D13)</f>
        <v>2011</v>
      </c>
      <c r="B13" s="9">
        <v>40703</v>
      </c>
      <c r="C13" s="3">
        <v>40708</v>
      </c>
      <c r="D13" s="7" t="s">
        <v>11</v>
      </c>
      <c r="E13" s="7" t="s">
        <v>16</v>
      </c>
      <c r="F13" s="7" t="s">
        <v>17</v>
      </c>
      <c r="G13" s="7" t="s">
        <v>20</v>
      </c>
      <c r="H13" s="7">
        <v>911.42399999999998</v>
      </c>
      <c r="I13" s="8">
        <v>4</v>
      </c>
      <c r="J13" s="8">
        <v>0.2</v>
      </c>
      <c r="K13" s="2">
        <v>68.356800000000021</v>
      </c>
    </row>
    <row r="14" spans="1:15" x14ac:dyDescent="0.25">
      <c r="A14" s="2">
        <f>YEAR([1]Data!$D14)</f>
        <v>2014</v>
      </c>
      <c r="B14" s="9">
        <v>41745</v>
      </c>
      <c r="C14" s="3">
        <v>41750</v>
      </c>
      <c r="D14" s="7" t="s">
        <v>11</v>
      </c>
      <c r="E14" s="7" t="s">
        <v>21</v>
      </c>
      <c r="F14" s="7" t="s">
        <v>13</v>
      </c>
      <c r="G14" s="7" t="s">
        <v>18</v>
      </c>
      <c r="H14" s="7">
        <v>15.552000000000003</v>
      </c>
      <c r="I14" s="8">
        <v>3</v>
      </c>
      <c r="J14" s="8">
        <v>0.2</v>
      </c>
      <c r="K14" s="2">
        <v>5.4432</v>
      </c>
    </row>
    <row r="15" spans="1:15" x14ac:dyDescent="0.25">
      <c r="A15" s="2">
        <f>YEAR([1]Data!$D15)</f>
        <v>2013</v>
      </c>
      <c r="B15" s="9">
        <v>41614</v>
      </c>
      <c r="C15" s="3">
        <v>41619</v>
      </c>
      <c r="D15" s="7" t="s">
        <v>11</v>
      </c>
      <c r="E15" s="7" t="s">
        <v>22</v>
      </c>
      <c r="F15" s="7" t="s">
        <v>17</v>
      </c>
      <c r="G15" s="7" t="s">
        <v>18</v>
      </c>
      <c r="H15" s="7">
        <v>407.97600000000006</v>
      </c>
      <c r="I15" s="8">
        <v>3</v>
      </c>
      <c r="J15" s="8">
        <v>0.2</v>
      </c>
      <c r="K15" s="2">
        <v>132.59219999999993</v>
      </c>
    </row>
    <row r="16" spans="1:15" x14ac:dyDescent="0.25">
      <c r="A16" s="2">
        <f>YEAR([1]Data!$D16)</f>
        <v>2012</v>
      </c>
      <c r="B16" s="9">
        <v>41235</v>
      </c>
      <c r="C16" s="3">
        <v>41239</v>
      </c>
      <c r="D16" s="7" t="s">
        <v>23</v>
      </c>
      <c r="E16" s="7" t="s">
        <v>24</v>
      </c>
      <c r="F16" s="7" t="s">
        <v>25</v>
      </c>
      <c r="G16" s="7" t="s">
        <v>18</v>
      </c>
      <c r="H16" s="7">
        <v>68.809999999999988</v>
      </c>
      <c r="I16" s="8">
        <v>5</v>
      </c>
      <c r="J16" s="8">
        <v>0.8</v>
      </c>
      <c r="K16" s="2">
        <v>-123.858</v>
      </c>
    </row>
    <row r="17" spans="1:11" x14ac:dyDescent="0.25">
      <c r="A17" s="2">
        <f>YEAR([1]Data!$D17)</f>
        <v>2012</v>
      </c>
      <c r="B17" s="9">
        <v>41235</v>
      </c>
      <c r="C17" s="3">
        <v>41239</v>
      </c>
      <c r="D17" s="7" t="s">
        <v>23</v>
      </c>
      <c r="E17" s="7" t="s">
        <v>24</v>
      </c>
      <c r="F17" s="7" t="s">
        <v>25</v>
      </c>
      <c r="G17" s="7" t="s">
        <v>18</v>
      </c>
      <c r="H17" s="7">
        <v>2.5439999999999996</v>
      </c>
      <c r="I17" s="8">
        <v>3</v>
      </c>
      <c r="J17" s="8">
        <v>0.8</v>
      </c>
      <c r="K17" s="2">
        <v>-3.8160000000000016</v>
      </c>
    </row>
    <row r="18" spans="1:11" x14ac:dyDescent="0.25">
      <c r="A18" s="2">
        <f>YEAR([1]Data!$D18)</f>
        <v>2011</v>
      </c>
      <c r="B18" s="9">
        <v>40858</v>
      </c>
      <c r="C18" s="3">
        <v>40865</v>
      </c>
      <c r="D18" s="7" t="s">
        <v>11</v>
      </c>
      <c r="E18" s="7" t="s">
        <v>26</v>
      </c>
      <c r="F18" s="7" t="s">
        <v>25</v>
      </c>
      <c r="G18" s="7" t="s">
        <v>18</v>
      </c>
      <c r="H18" s="7">
        <v>665.88</v>
      </c>
      <c r="I18" s="8">
        <v>6</v>
      </c>
      <c r="J18" s="8">
        <v>0</v>
      </c>
      <c r="K18" s="2">
        <v>13.317599999999999</v>
      </c>
    </row>
    <row r="19" spans="1:11" x14ac:dyDescent="0.25">
      <c r="A19" s="2">
        <f>YEAR([1]Data!$D19)</f>
        <v>2011</v>
      </c>
      <c r="B19" s="9">
        <v>40676</v>
      </c>
      <c r="C19" s="3">
        <v>40678</v>
      </c>
      <c r="D19" s="7" t="s">
        <v>11</v>
      </c>
      <c r="E19" s="7" t="s">
        <v>27</v>
      </c>
      <c r="F19" s="7" t="s">
        <v>17</v>
      </c>
      <c r="G19" s="7" t="s">
        <v>18</v>
      </c>
      <c r="H19" s="7">
        <v>55.5</v>
      </c>
      <c r="I19" s="8">
        <v>2</v>
      </c>
      <c r="J19" s="8">
        <v>0</v>
      </c>
      <c r="K19" s="2">
        <v>9.9899999999999949</v>
      </c>
    </row>
    <row r="20" spans="1:11" x14ac:dyDescent="0.25">
      <c r="A20" s="2">
        <f>YEAR([1]Data!$D20)</f>
        <v>2011</v>
      </c>
      <c r="B20" s="9">
        <v>40782</v>
      </c>
      <c r="C20" s="3">
        <v>40787</v>
      </c>
      <c r="D20" s="7" t="s">
        <v>11</v>
      </c>
      <c r="E20" s="7" t="s">
        <v>16</v>
      </c>
      <c r="F20" s="7" t="s">
        <v>17</v>
      </c>
      <c r="G20" s="7" t="s">
        <v>18</v>
      </c>
      <c r="H20" s="7">
        <v>8.56</v>
      </c>
      <c r="I20" s="2">
        <v>2</v>
      </c>
      <c r="J20" s="2">
        <v>0</v>
      </c>
      <c r="K20" s="2">
        <v>2.4823999999999993</v>
      </c>
    </row>
    <row r="21" spans="1:11" x14ac:dyDescent="0.25">
      <c r="A21" s="2">
        <f>YEAR([1]Data!$D21)</f>
        <v>2011</v>
      </c>
      <c r="B21" s="9">
        <v>40782</v>
      </c>
      <c r="C21" s="3">
        <v>40787</v>
      </c>
      <c r="D21" s="2" t="s">
        <v>11</v>
      </c>
      <c r="E21" s="2" t="s">
        <v>16</v>
      </c>
      <c r="F21" s="2" t="s">
        <v>17</v>
      </c>
      <c r="G21" s="2" t="s">
        <v>20</v>
      </c>
      <c r="H21" s="2">
        <v>213.48000000000002</v>
      </c>
      <c r="I21" s="2">
        <v>3</v>
      </c>
      <c r="J21" s="2">
        <v>0.2</v>
      </c>
      <c r="K21" s="2">
        <v>16.010999999999981</v>
      </c>
    </row>
    <row r="22" spans="1:11" x14ac:dyDescent="0.25">
      <c r="A22" s="2">
        <f>YEAR([1]Data!$D22)</f>
        <v>2011</v>
      </c>
      <c r="B22" s="3">
        <v>40782</v>
      </c>
      <c r="C22" s="3">
        <v>40787</v>
      </c>
      <c r="D22" s="2" t="s">
        <v>11</v>
      </c>
      <c r="E22" s="2" t="s">
        <v>16</v>
      </c>
      <c r="F22" s="2" t="s">
        <v>17</v>
      </c>
      <c r="G22" s="2" t="s">
        <v>18</v>
      </c>
      <c r="H22" s="2">
        <v>22.72</v>
      </c>
      <c r="I22" s="2">
        <v>4</v>
      </c>
      <c r="J22" s="2">
        <v>0.2</v>
      </c>
      <c r="K22" s="2">
        <v>7.3839999999999986</v>
      </c>
    </row>
    <row r="23" spans="1:11" x14ac:dyDescent="0.25">
      <c r="A23" s="2">
        <f>YEAR([1]Data!$D23)</f>
        <v>2013</v>
      </c>
      <c r="B23" s="3">
        <v>41618</v>
      </c>
      <c r="C23" s="3">
        <v>41622</v>
      </c>
      <c r="D23" s="2" t="s">
        <v>15</v>
      </c>
      <c r="E23" s="2" t="s">
        <v>28</v>
      </c>
      <c r="F23" s="2" t="s">
        <v>25</v>
      </c>
      <c r="G23" s="2" t="s">
        <v>18</v>
      </c>
      <c r="H23" s="2">
        <v>19.459999999999997</v>
      </c>
      <c r="I23" s="8">
        <v>7</v>
      </c>
      <c r="J23" s="8">
        <v>0</v>
      </c>
      <c r="K23" s="8">
        <v>5.0595999999999997</v>
      </c>
    </row>
    <row r="24" spans="1:11" x14ac:dyDescent="0.25">
      <c r="A24" s="2">
        <f>YEAR([1]Data!$D24)</f>
        <v>2013</v>
      </c>
      <c r="B24" s="3">
        <v>41618</v>
      </c>
      <c r="C24" s="3">
        <v>41622</v>
      </c>
      <c r="D24" s="2" t="s">
        <v>15</v>
      </c>
      <c r="E24" s="2" t="s">
        <v>28</v>
      </c>
      <c r="F24" s="2" t="s">
        <v>25</v>
      </c>
      <c r="G24" s="2" t="s">
        <v>18</v>
      </c>
      <c r="H24" s="2">
        <v>60.339999999999996</v>
      </c>
      <c r="I24" s="8">
        <v>7</v>
      </c>
      <c r="J24" s="8">
        <v>0</v>
      </c>
      <c r="K24" s="8">
        <v>15.688400000000001</v>
      </c>
    </row>
    <row r="25" spans="1:11" x14ac:dyDescent="0.25">
      <c r="A25" s="2">
        <f>YEAR([1]Data!$D25)</f>
        <v>2014</v>
      </c>
      <c r="B25" s="3">
        <v>41837</v>
      </c>
      <c r="C25" s="3">
        <v>41839</v>
      </c>
      <c r="D25" s="2" t="s">
        <v>11</v>
      </c>
      <c r="E25" s="2" t="s">
        <v>29</v>
      </c>
      <c r="F25" s="2" t="s">
        <v>30</v>
      </c>
      <c r="G25" s="2" t="s">
        <v>14</v>
      </c>
      <c r="H25" s="2">
        <v>71.371999999999986</v>
      </c>
      <c r="I25" s="8">
        <v>2</v>
      </c>
      <c r="J25" s="8">
        <v>0.3</v>
      </c>
      <c r="K25" s="8">
        <v>-1.0196000000000005</v>
      </c>
    </row>
    <row r="26" spans="1:11" x14ac:dyDescent="0.25">
      <c r="A26" s="2">
        <f>YEAR([1]Data!$D26)</f>
        <v>2012</v>
      </c>
      <c r="B26" s="3">
        <v>41177</v>
      </c>
      <c r="C26" s="3">
        <v>41182</v>
      </c>
      <c r="D26" s="2" t="s">
        <v>11</v>
      </c>
      <c r="E26" s="2" t="s">
        <v>27</v>
      </c>
      <c r="F26" s="2" t="s">
        <v>17</v>
      </c>
      <c r="G26" s="2" t="s">
        <v>14</v>
      </c>
      <c r="H26" s="2">
        <v>1044.6299999999999</v>
      </c>
      <c r="I26" s="8">
        <v>3</v>
      </c>
      <c r="J26" s="8">
        <v>0</v>
      </c>
      <c r="K26" s="8">
        <v>240.26490000000001</v>
      </c>
    </row>
    <row r="27" spans="1:11" x14ac:dyDescent="0.25">
      <c r="A27" s="2">
        <f>YEAR([1]Data!$D27)</f>
        <v>2013</v>
      </c>
      <c r="B27" s="3">
        <v>41290</v>
      </c>
      <c r="C27" s="3">
        <v>41294</v>
      </c>
      <c r="D27" s="2" t="s">
        <v>11</v>
      </c>
      <c r="E27" s="2" t="s">
        <v>16</v>
      </c>
      <c r="F27" s="2" t="s">
        <v>17</v>
      </c>
      <c r="G27" s="2" t="s">
        <v>18</v>
      </c>
      <c r="H27" s="2">
        <v>11.648000000000001</v>
      </c>
      <c r="I27" s="8">
        <v>2</v>
      </c>
      <c r="J27" s="8">
        <v>0.2</v>
      </c>
      <c r="K27" s="8">
        <v>4.2224000000000004</v>
      </c>
    </row>
    <row r="28" spans="1:11" x14ac:dyDescent="0.25">
      <c r="A28" s="2">
        <f>YEAR([1]Data!$D28)</f>
        <v>2013</v>
      </c>
      <c r="B28" s="3">
        <v>41290</v>
      </c>
      <c r="C28" s="3">
        <v>41294</v>
      </c>
      <c r="D28" s="2" t="s">
        <v>11</v>
      </c>
      <c r="E28" s="2" t="s">
        <v>16</v>
      </c>
      <c r="F28" s="2" t="s">
        <v>17</v>
      </c>
      <c r="G28" s="2" t="s">
        <v>20</v>
      </c>
      <c r="H28" s="2">
        <v>90.570000000000007</v>
      </c>
      <c r="I28" s="8">
        <v>3</v>
      </c>
      <c r="J28" s="8">
        <v>0</v>
      </c>
      <c r="K28" s="8">
        <v>11.774100000000004</v>
      </c>
    </row>
    <row r="29" spans="1:11" x14ac:dyDescent="0.25">
      <c r="A29" s="2">
        <f>YEAR([1]Data!$D29)</f>
        <v>2012</v>
      </c>
      <c r="B29" s="3">
        <v>41169</v>
      </c>
      <c r="C29" s="3">
        <v>41173</v>
      </c>
      <c r="D29" s="2" t="s">
        <v>11</v>
      </c>
      <c r="E29" s="2" t="s">
        <v>29</v>
      </c>
      <c r="F29" s="2" t="s">
        <v>30</v>
      </c>
      <c r="G29" s="2" t="s">
        <v>14</v>
      </c>
      <c r="H29" s="2">
        <v>3083.4300000000003</v>
      </c>
      <c r="I29" s="8">
        <v>7</v>
      </c>
      <c r="J29" s="8">
        <v>0.5</v>
      </c>
      <c r="K29" s="8">
        <v>-1665.0522000000001</v>
      </c>
    </row>
    <row r="30" spans="1:11" x14ac:dyDescent="0.25">
      <c r="A30" s="2">
        <f>YEAR([1]Data!$D30)</f>
        <v>2012</v>
      </c>
      <c r="B30" s="3">
        <v>41169</v>
      </c>
      <c r="C30" s="3">
        <v>41173</v>
      </c>
      <c r="D30" s="2" t="s">
        <v>11</v>
      </c>
      <c r="E30" s="2" t="s">
        <v>29</v>
      </c>
      <c r="F30" s="2" t="s">
        <v>30</v>
      </c>
      <c r="G30" s="2" t="s">
        <v>18</v>
      </c>
      <c r="H30" s="2">
        <v>9.6180000000000021</v>
      </c>
      <c r="I30" s="8">
        <v>2</v>
      </c>
      <c r="J30" s="8">
        <v>0.7</v>
      </c>
      <c r="K30" s="8">
        <v>-7.0532000000000004</v>
      </c>
    </row>
    <row r="31" spans="1:11" x14ac:dyDescent="0.25">
      <c r="A31" s="2">
        <f>YEAR([1]Data!$D31)</f>
        <v>2012</v>
      </c>
      <c r="B31" s="3">
        <v>41169</v>
      </c>
      <c r="C31" s="3">
        <v>41173</v>
      </c>
      <c r="D31" s="2" t="s">
        <v>11</v>
      </c>
      <c r="E31" s="2" t="s">
        <v>29</v>
      </c>
      <c r="F31" s="2" t="s">
        <v>30</v>
      </c>
      <c r="G31" s="2" t="s">
        <v>14</v>
      </c>
      <c r="H31" s="2">
        <v>124.20000000000002</v>
      </c>
      <c r="I31" s="8">
        <v>3</v>
      </c>
      <c r="J31" s="8">
        <v>0.2</v>
      </c>
      <c r="K31" s="8">
        <v>15.524999999999991</v>
      </c>
    </row>
    <row r="32" spans="1:11" x14ac:dyDescent="0.25">
      <c r="A32" s="2">
        <f>YEAR([1]Data!$D32)</f>
        <v>2012</v>
      </c>
      <c r="B32" s="3">
        <v>41169</v>
      </c>
      <c r="C32" s="3">
        <v>41173</v>
      </c>
      <c r="D32" s="2" t="s">
        <v>11</v>
      </c>
      <c r="E32" s="2" t="s">
        <v>29</v>
      </c>
      <c r="F32" s="2" t="s">
        <v>30</v>
      </c>
      <c r="G32" s="2" t="s">
        <v>18</v>
      </c>
      <c r="H32" s="2">
        <v>3.2640000000000002</v>
      </c>
      <c r="I32" s="2">
        <v>2</v>
      </c>
      <c r="J32" s="2">
        <v>0.2</v>
      </c>
      <c r="K32" s="2">
        <v>1.1015999999999997</v>
      </c>
    </row>
    <row r="33" spans="1:11" x14ac:dyDescent="0.25">
      <c r="A33" s="2">
        <f>YEAR([1]Data!$D33)</f>
        <v>2012</v>
      </c>
      <c r="B33" s="3">
        <v>41169</v>
      </c>
      <c r="C33" s="3">
        <v>41173</v>
      </c>
      <c r="D33" s="2" t="s">
        <v>11</v>
      </c>
      <c r="E33" s="2" t="s">
        <v>29</v>
      </c>
      <c r="F33" s="2" t="s">
        <v>30</v>
      </c>
      <c r="G33" s="2" t="s">
        <v>18</v>
      </c>
      <c r="H33" s="2">
        <v>86.304000000000002</v>
      </c>
      <c r="I33" s="2">
        <v>6</v>
      </c>
      <c r="J33" s="2">
        <v>0.2</v>
      </c>
      <c r="K33" s="2">
        <v>9.7091999999999885</v>
      </c>
    </row>
    <row r="34" spans="1:11" x14ac:dyDescent="0.25">
      <c r="A34" s="2">
        <f>YEAR([1]Data!$D34)</f>
        <v>2012</v>
      </c>
      <c r="B34" s="3">
        <v>41169</v>
      </c>
      <c r="C34" s="3">
        <v>41173</v>
      </c>
      <c r="D34" s="2" t="s">
        <v>11</v>
      </c>
      <c r="E34" s="2" t="s">
        <v>29</v>
      </c>
      <c r="F34" s="2" t="s">
        <v>30</v>
      </c>
      <c r="G34" s="2" t="s">
        <v>18</v>
      </c>
      <c r="H34" s="2">
        <v>6.8580000000000014</v>
      </c>
      <c r="I34" s="2">
        <v>6</v>
      </c>
      <c r="J34" s="2">
        <v>0.7</v>
      </c>
      <c r="K34" s="2">
        <v>-5.7149999999999999</v>
      </c>
    </row>
    <row r="35" spans="1:11" x14ac:dyDescent="0.25">
      <c r="A35" s="2">
        <f>YEAR([1]Data!$D35)</f>
        <v>2012</v>
      </c>
      <c r="B35" s="3">
        <v>41169</v>
      </c>
      <c r="C35" s="3">
        <v>41173</v>
      </c>
      <c r="D35" s="2" t="s">
        <v>11</v>
      </c>
      <c r="E35" s="2" t="s">
        <v>29</v>
      </c>
      <c r="F35" s="2" t="s">
        <v>30</v>
      </c>
      <c r="G35" s="2" t="s">
        <v>18</v>
      </c>
      <c r="H35" s="2">
        <v>15.76</v>
      </c>
      <c r="I35" s="2">
        <v>2</v>
      </c>
      <c r="J35" s="2">
        <v>0.2</v>
      </c>
      <c r="K35" s="2">
        <v>3.5460000000000007</v>
      </c>
    </row>
    <row r="36" spans="1:11" x14ac:dyDescent="0.25">
      <c r="A36" s="2">
        <f>YEAR([1]Data!$D36)</f>
        <v>2014</v>
      </c>
      <c r="B36" s="3">
        <v>41932</v>
      </c>
      <c r="C36" s="3">
        <v>41936</v>
      </c>
      <c r="D36" s="2" t="s">
        <v>23</v>
      </c>
      <c r="E36" s="2" t="s">
        <v>24</v>
      </c>
      <c r="F36" s="2" t="s">
        <v>25</v>
      </c>
      <c r="G36" s="2" t="s">
        <v>18</v>
      </c>
      <c r="H36" s="2">
        <v>29.472000000000001</v>
      </c>
      <c r="I36" s="2">
        <v>3</v>
      </c>
      <c r="J36" s="2">
        <v>0.2</v>
      </c>
      <c r="K36" s="2">
        <v>9.9467999999999979</v>
      </c>
    </row>
    <row r="37" spans="1:11" x14ac:dyDescent="0.25">
      <c r="A37" s="2">
        <f>YEAR([1]Data!$D37)</f>
        <v>2013</v>
      </c>
      <c r="B37" s="3">
        <v>41617</v>
      </c>
      <c r="C37" s="3">
        <v>41619</v>
      </c>
      <c r="D37" s="2" t="s">
        <v>15</v>
      </c>
      <c r="E37" s="2" t="s">
        <v>24</v>
      </c>
      <c r="F37" s="2" t="s">
        <v>25</v>
      </c>
      <c r="G37" s="2" t="s">
        <v>20</v>
      </c>
      <c r="H37" s="2">
        <v>1097.5440000000003</v>
      </c>
      <c r="I37" s="2">
        <v>7</v>
      </c>
      <c r="J37" s="2">
        <v>0.2</v>
      </c>
      <c r="K37" s="2">
        <v>123.47369999999989</v>
      </c>
    </row>
    <row r="38" spans="1:11" x14ac:dyDescent="0.25">
      <c r="A38" s="2">
        <f>YEAR([1]Data!$D38)</f>
        <v>2013</v>
      </c>
      <c r="B38" s="3">
        <v>41617</v>
      </c>
      <c r="C38" s="3">
        <v>41619</v>
      </c>
      <c r="D38" s="2" t="s">
        <v>15</v>
      </c>
      <c r="E38" s="2" t="s">
        <v>24</v>
      </c>
      <c r="F38" s="2" t="s">
        <v>25</v>
      </c>
      <c r="G38" s="2" t="s">
        <v>14</v>
      </c>
      <c r="H38" s="2">
        <v>190.92</v>
      </c>
      <c r="I38" s="2">
        <v>5</v>
      </c>
      <c r="J38" s="2">
        <v>0.6</v>
      </c>
      <c r="K38" s="2">
        <v>-147.96300000000002</v>
      </c>
    </row>
    <row r="39" spans="1:11" x14ac:dyDescent="0.25">
      <c r="A39" s="2">
        <f>YEAR([1]Data!$D39)</f>
        <v>2012</v>
      </c>
      <c r="B39" s="3">
        <v>41270</v>
      </c>
      <c r="C39" s="3">
        <v>41274</v>
      </c>
      <c r="D39" s="2" t="s">
        <v>23</v>
      </c>
      <c r="E39" s="2" t="s">
        <v>24</v>
      </c>
      <c r="F39" s="2" t="s">
        <v>25</v>
      </c>
      <c r="G39" s="2" t="s">
        <v>18</v>
      </c>
      <c r="H39" s="2">
        <v>113.328</v>
      </c>
      <c r="I39" s="2">
        <v>9</v>
      </c>
      <c r="J39" s="2">
        <v>0.2</v>
      </c>
      <c r="K39" s="2">
        <v>35.414999999999999</v>
      </c>
    </row>
    <row r="40" spans="1:11" x14ac:dyDescent="0.25">
      <c r="A40" s="2">
        <f>YEAR([1]Data!$D40)</f>
        <v>2012</v>
      </c>
      <c r="B40" s="3">
        <v>41270</v>
      </c>
      <c r="C40" s="3">
        <v>41274</v>
      </c>
      <c r="D40" s="2" t="s">
        <v>23</v>
      </c>
      <c r="E40" s="2" t="s">
        <v>24</v>
      </c>
      <c r="F40" s="2" t="s">
        <v>25</v>
      </c>
      <c r="G40" s="2" t="s">
        <v>14</v>
      </c>
      <c r="H40" s="2">
        <v>532.39919999999995</v>
      </c>
      <c r="I40" s="2">
        <v>3</v>
      </c>
      <c r="J40" s="2">
        <v>0.32</v>
      </c>
      <c r="K40" s="2">
        <v>-46.976400000000012</v>
      </c>
    </row>
    <row r="41" spans="1:11" x14ac:dyDescent="0.25">
      <c r="A41" s="2">
        <f>YEAR([1]Data!$D41)</f>
        <v>2012</v>
      </c>
      <c r="B41" s="3">
        <v>41270</v>
      </c>
      <c r="C41" s="3">
        <v>41274</v>
      </c>
      <c r="D41" s="2" t="s">
        <v>23</v>
      </c>
      <c r="E41" s="2" t="s">
        <v>24</v>
      </c>
      <c r="F41" s="2" t="s">
        <v>25</v>
      </c>
      <c r="G41" s="2" t="s">
        <v>14</v>
      </c>
      <c r="H41" s="2">
        <v>212.05799999999999</v>
      </c>
      <c r="I41" s="2">
        <v>3</v>
      </c>
      <c r="J41" s="2">
        <v>0.3</v>
      </c>
      <c r="K41" s="2">
        <v>-15.146999999999991</v>
      </c>
    </row>
    <row r="42" spans="1:11" x14ac:dyDescent="0.25">
      <c r="A42" s="2">
        <f>YEAR([1]Data!$D42)</f>
        <v>2012</v>
      </c>
      <c r="B42" s="3">
        <v>41270</v>
      </c>
      <c r="C42" s="3">
        <v>41274</v>
      </c>
      <c r="D42" s="2" t="s">
        <v>23</v>
      </c>
      <c r="E42" s="2" t="s">
        <v>24</v>
      </c>
      <c r="F42" s="2" t="s">
        <v>25</v>
      </c>
      <c r="G42" s="2" t="s">
        <v>20</v>
      </c>
      <c r="H42" s="2">
        <v>371.16800000000001</v>
      </c>
      <c r="I42" s="2">
        <v>4</v>
      </c>
      <c r="J42" s="2">
        <v>0.2</v>
      </c>
      <c r="K42" s="2">
        <v>41.756399999999957</v>
      </c>
    </row>
    <row r="43" spans="1:11" x14ac:dyDescent="0.25">
      <c r="A43" s="2">
        <f>YEAR([1]Data!$D43)</f>
        <v>2014</v>
      </c>
      <c r="B43" s="3">
        <v>41893</v>
      </c>
      <c r="C43" s="3">
        <v>41898</v>
      </c>
      <c r="D43" s="2" t="s">
        <v>15</v>
      </c>
      <c r="E43" s="2" t="s">
        <v>31</v>
      </c>
      <c r="F43" s="2" t="s">
        <v>25</v>
      </c>
      <c r="G43" s="2" t="s">
        <v>20</v>
      </c>
      <c r="H43" s="2">
        <v>147.16800000000001</v>
      </c>
      <c r="I43" s="2">
        <v>4</v>
      </c>
      <c r="J43" s="2">
        <v>0.2</v>
      </c>
      <c r="K43" s="2">
        <v>16.556399999999996</v>
      </c>
    </row>
    <row r="44" spans="1:11" x14ac:dyDescent="0.25">
      <c r="A44" s="2">
        <f>YEAR([1]Data!$D44)</f>
        <v>2013</v>
      </c>
      <c r="B44" s="3">
        <v>41473</v>
      </c>
      <c r="C44" s="3">
        <v>41478</v>
      </c>
      <c r="D44" s="2" t="s">
        <v>15</v>
      </c>
      <c r="E44" s="2" t="s">
        <v>16</v>
      </c>
      <c r="F44" s="2" t="s">
        <v>17</v>
      </c>
      <c r="G44" s="2" t="s">
        <v>18</v>
      </c>
      <c r="H44" s="2">
        <v>77.88</v>
      </c>
      <c r="I44" s="2">
        <v>2</v>
      </c>
      <c r="J44" s="2">
        <v>0</v>
      </c>
      <c r="K44" s="2">
        <v>3.8939999999999912</v>
      </c>
    </row>
    <row r="45" spans="1:11" x14ac:dyDescent="0.25">
      <c r="A45" s="2">
        <f>YEAR([1]Data!$D45)</f>
        <v>2014</v>
      </c>
      <c r="B45" s="3">
        <v>41902</v>
      </c>
      <c r="C45" s="3">
        <v>41906</v>
      </c>
      <c r="D45" s="2" t="s">
        <v>15</v>
      </c>
      <c r="E45" s="2" t="s">
        <v>19</v>
      </c>
      <c r="F45" s="2" t="s">
        <v>13</v>
      </c>
      <c r="G45" s="2" t="s">
        <v>18</v>
      </c>
      <c r="H45" s="2">
        <v>95.616</v>
      </c>
      <c r="I45" s="2">
        <v>2</v>
      </c>
      <c r="J45" s="2">
        <v>0.2</v>
      </c>
      <c r="K45" s="2">
        <v>9.5616000000000092</v>
      </c>
    </row>
    <row r="46" spans="1:11" x14ac:dyDescent="0.25">
      <c r="A46" s="2">
        <f>YEAR([1]Data!$D46)</f>
        <v>2013</v>
      </c>
      <c r="B46" s="3">
        <v>41345</v>
      </c>
      <c r="C46" s="3">
        <v>41347</v>
      </c>
      <c r="D46" s="2" t="s">
        <v>15</v>
      </c>
      <c r="E46" s="2" t="s">
        <v>32</v>
      </c>
      <c r="F46" s="2" t="s">
        <v>25</v>
      </c>
      <c r="G46" s="2" t="s">
        <v>20</v>
      </c>
      <c r="H46" s="2">
        <v>45.98</v>
      </c>
      <c r="I46" s="2">
        <v>2</v>
      </c>
      <c r="J46" s="2">
        <v>0</v>
      </c>
      <c r="K46" s="2">
        <v>19.7714</v>
      </c>
    </row>
    <row r="47" spans="1:11" x14ac:dyDescent="0.25">
      <c r="A47" s="2">
        <f>YEAR([1]Data!$D47)</f>
        <v>2013</v>
      </c>
      <c r="B47" s="3">
        <v>41345</v>
      </c>
      <c r="C47" s="3">
        <v>41347</v>
      </c>
      <c r="D47" s="2" t="s">
        <v>15</v>
      </c>
      <c r="E47" s="2" t="s">
        <v>32</v>
      </c>
      <c r="F47" s="2" t="s">
        <v>25</v>
      </c>
      <c r="G47" s="2" t="s">
        <v>18</v>
      </c>
      <c r="H47" s="2">
        <v>17.46</v>
      </c>
      <c r="I47" s="2">
        <v>2</v>
      </c>
      <c r="J47" s="2">
        <v>0</v>
      </c>
      <c r="K47" s="2">
        <v>8.2061999999999991</v>
      </c>
    </row>
    <row r="48" spans="1:11" x14ac:dyDescent="0.25">
      <c r="A48" s="2">
        <f>YEAR([1]Data!$D48)</f>
        <v>2011</v>
      </c>
      <c r="B48" s="3">
        <v>40836</v>
      </c>
      <c r="C48" s="3">
        <v>40841</v>
      </c>
      <c r="D48" s="2" t="s">
        <v>11</v>
      </c>
      <c r="E48" s="2" t="s">
        <v>33</v>
      </c>
      <c r="F48" s="2" t="s">
        <v>25</v>
      </c>
      <c r="G48" s="2" t="s">
        <v>18</v>
      </c>
      <c r="H48" s="2">
        <v>211.96</v>
      </c>
      <c r="I48" s="2">
        <v>4</v>
      </c>
      <c r="J48" s="2">
        <v>0</v>
      </c>
      <c r="K48" s="2">
        <v>8.4783999999999935</v>
      </c>
    </row>
    <row r="49" spans="1:11" x14ac:dyDescent="0.25">
      <c r="A49" s="2">
        <f>YEAR([1]Data!$D49)</f>
        <v>2013</v>
      </c>
      <c r="B49" s="3">
        <v>41446</v>
      </c>
      <c r="C49" s="3">
        <v>41451</v>
      </c>
      <c r="D49" s="2" t="s">
        <v>11</v>
      </c>
      <c r="E49" s="2" t="s">
        <v>34</v>
      </c>
      <c r="F49" s="2" t="s">
        <v>30</v>
      </c>
      <c r="G49" s="2" t="s">
        <v>20</v>
      </c>
      <c r="H49" s="2">
        <v>45</v>
      </c>
      <c r="I49" s="2">
        <v>3</v>
      </c>
      <c r="J49" s="2">
        <v>0</v>
      </c>
      <c r="K49" s="2">
        <v>4.9500000000000011</v>
      </c>
    </row>
    <row r="50" spans="1:11" x14ac:dyDescent="0.25">
      <c r="A50" s="2">
        <f>YEAR([1]Data!$D50)</f>
        <v>2013</v>
      </c>
      <c r="B50" s="3">
        <v>41446</v>
      </c>
      <c r="C50" s="3">
        <v>41451</v>
      </c>
      <c r="D50" s="2" t="s">
        <v>11</v>
      </c>
      <c r="E50" s="2" t="s">
        <v>34</v>
      </c>
      <c r="F50" s="2" t="s">
        <v>30</v>
      </c>
      <c r="G50" s="2" t="s">
        <v>20</v>
      </c>
      <c r="H50" s="2">
        <v>21.8</v>
      </c>
      <c r="I50" s="2">
        <v>2</v>
      </c>
      <c r="J50" s="2">
        <v>0</v>
      </c>
      <c r="K50" s="2">
        <v>6.104000000000001</v>
      </c>
    </row>
    <row r="51" spans="1:11" x14ac:dyDescent="0.25">
      <c r="A51" s="2">
        <f>YEAR([1]Data!$D51)</f>
        <v>2012</v>
      </c>
      <c r="B51" s="3">
        <v>41017</v>
      </c>
      <c r="C51" s="3">
        <v>41021</v>
      </c>
      <c r="D51" s="2" t="s">
        <v>11</v>
      </c>
      <c r="E51" s="2" t="s">
        <v>35</v>
      </c>
      <c r="F51" s="2" t="s">
        <v>25</v>
      </c>
      <c r="G51" s="2" t="s">
        <v>18</v>
      </c>
      <c r="H51" s="2">
        <v>38.22</v>
      </c>
      <c r="I51" s="2">
        <v>6</v>
      </c>
      <c r="J51" s="2">
        <v>0</v>
      </c>
      <c r="K51" s="2">
        <v>17.9634</v>
      </c>
    </row>
    <row r="52" spans="1:11" x14ac:dyDescent="0.25">
      <c r="A52" s="2">
        <f>YEAR([1]Data!$D52)</f>
        <v>2012</v>
      </c>
      <c r="B52" s="3">
        <v>41017</v>
      </c>
      <c r="C52" s="3">
        <v>41021</v>
      </c>
      <c r="D52" s="2" t="s">
        <v>11</v>
      </c>
      <c r="E52" s="2" t="s">
        <v>35</v>
      </c>
      <c r="F52" s="2" t="s">
        <v>25</v>
      </c>
      <c r="G52" s="2" t="s">
        <v>18</v>
      </c>
      <c r="H52" s="2">
        <v>75.179999999999993</v>
      </c>
      <c r="I52" s="2">
        <v>6</v>
      </c>
      <c r="J52" s="2">
        <v>0</v>
      </c>
      <c r="K52" s="2">
        <v>35.334599999999995</v>
      </c>
    </row>
    <row r="53" spans="1:11" x14ac:dyDescent="0.25">
      <c r="A53" s="2">
        <f>YEAR([1]Data!$D53)</f>
        <v>2012</v>
      </c>
      <c r="B53" s="3">
        <v>41017</v>
      </c>
      <c r="C53" s="3">
        <v>41021</v>
      </c>
      <c r="D53" s="2" t="s">
        <v>11</v>
      </c>
      <c r="E53" s="2" t="s">
        <v>35</v>
      </c>
      <c r="F53" s="2" t="s">
        <v>25</v>
      </c>
      <c r="G53" s="2" t="s">
        <v>14</v>
      </c>
      <c r="H53" s="2">
        <v>6.16</v>
      </c>
      <c r="I53" s="2">
        <v>2</v>
      </c>
      <c r="J53" s="2">
        <v>0</v>
      </c>
      <c r="K53" s="2">
        <v>2.9567999999999999</v>
      </c>
    </row>
    <row r="54" spans="1:11" x14ac:dyDescent="0.25">
      <c r="A54" s="2">
        <f>YEAR([1]Data!$D54)</f>
        <v>2012</v>
      </c>
      <c r="B54" s="3">
        <v>41017</v>
      </c>
      <c r="C54" s="3">
        <v>41021</v>
      </c>
      <c r="D54" s="2" t="s">
        <v>11</v>
      </c>
      <c r="E54" s="2" t="s">
        <v>35</v>
      </c>
      <c r="F54" s="2" t="s">
        <v>25</v>
      </c>
      <c r="G54" s="2" t="s">
        <v>14</v>
      </c>
      <c r="H54" s="2">
        <v>89.99</v>
      </c>
      <c r="I54" s="2">
        <v>1</v>
      </c>
      <c r="J54" s="2">
        <v>0</v>
      </c>
      <c r="K54" s="2">
        <v>17.098099999999988</v>
      </c>
    </row>
    <row r="55" spans="1:11" x14ac:dyDescent="0.25">
      <c r="A55" s="2">
        <f>YEAR([1]Data!$D55)</f>
        <v>2013</v>
      </c>
      <c r="B55" s="3">
        <v>41620</v>
      </c>
      <c r="C55" s="3">
        <v>41626</v>
      </c>
      <c r="D55" s="2" t="s">
        <v>15</v>
      </c>
      <c r="E55" s="2" t="s">
        <v>36</v>
      </c>
      <c r="F55" s="2" t="s">
        <v>30</v>
      </c>
      <c r="G55" s="2" t="s">
        <v>18</v>
      </c>
      <c r="H55" s="2">
        <v>15.260000000000002</v>
      </c>
      <c r="I55" s="2">
        <v>7</v>
      </c>
      <c r="J55" s="2">
        <v>0</v>
      </c>
      <c r="K55" s="2">
        <v>6.2566000000000006</v>
      </c>
    </row>
    <row r="56" spans="1:11" x14ac:dyDescent="0.25">
      <c r="A56" s="2">
        <f>YEAR([1]Data!$D56)</f>
        <v>2013</v>
      </c>
      <c r="B56" s="3">
        <v>41620</v>
      </c>
      <c r="C56" s="3">
        <v>41626</v>
      </c>
      <c r="D56" s="2" t="s">
        <v>15</v>
      </c>
      <c r="E56" s="2" t="s">
        <v>36</v>
      </c>
      <c r="F56" s="2" t="s">
        <v>30</v>
      </c>
      <c r="G56" s="2" t="s">
        <v>20</v>
      </c>
      <c r="H56" s="2">
        <v>1029.95</v>
      </c>
      <c r="I56" s="2">
        <v>5</v>
      </c>
      <c r="J56" s="2">
        <v>0</v>
      </c>
      <c r="K56" s="2">
        <v>298.68549999999999</v>
      </c>
    </row>
    <row r="57" spans="1:11" x14ac:dyDescent="0.25">
      <c r="A57" s="2">
        <f>YEAR([1]Data!$D57)</f>
        <v>2013</v>
      </c>
      <c r="B57" s="3">
        <v>41443</v>
      </c>
      <c r="C57" s="3">
        <v>41444</v>
      </c>
      <c r="D57" s="2" t="s">
        <v>11</v>
      </c>
      <c r="E57" s="2" t="s">
        <v>36</v>
      </c>
      <c r="F57" s="2" t="s">
        <v>30</v>
      </c>
      <c r="G57" s="2" t="s">
        <v>18</v>
      </c>
      <c r="H57" s="2">
        <v>208.56</v>
      </c>
      <c r="I57" s="2">
        <v>6</v>
      </c>
      <c r="J57" s="2">
        <v>0</v>
      </c>
      <c r="K57" s="2">
        <v>52.139999999999986</v>
      </c>
    </row>
    <row r="58" spans="1:11" x14ac:dyDescent="0.25">
      <c r="A58" s="2">
        <f>YEAR([1]Data!$D58)</f>
        <v>2013</v>
      </c>
      <c r="B58" s="3">
        <v>41443</v>
      </c>
      <c r="C58" s="3">
        <v>41444</v>
      </c>
      <c r="D58" s="2" t="s">
        <v>11</v>
      </c>
      <c r="E58" s="2" t="s">
        <v>36</v>
      </c>
      <c r="F58" s="2" t="s">
        <v>30</v>
      </c>
      <c r="G58" s="2" t="s">
        <v>18</v>
      </c>
      <c r="H58" s="2">
        <v>32.400000000000006</v>
      </c>
      <c r="I58" s="2">
        <v>5</v>
      </c>
      <c r="J58" s="2">
        <v>0</v>
      </c>
      <c r="K58" s="2">
        <v>15.552000000000001</v>
      </c>
    </row>
    <row r="59" spans="1:11" x14ac:dyDescent="0.25">
      <c r="A59" s="2">
        <f>YEAR([1]Data!$D59)</f>
        <v>2013</v>
      </c>
      <c r="B59" s="3">
        <v>41443</v>
      </c>
      <c r="C59" s="3">
        <v>41444</v>
      </c>
      <c r="D59" s="2" t="s">
        <v>11</v>
      </c>
      <c r="E59" s="2" t="s">
        <v>36</v>
      </c>
      <c r="F59" s="2" t="s">
        <v>30</v>
      </c>
      <c r="G59" s="2" t="s">
        <v>14</v>
      </c>
      <c r="H59" s="2">
        <v>319.41000000000003</v>
      </c>
      <c r="I59" s="2">
        <v>5</v>
      </c>
      <c r="J59" s="2">
        <v>0.1</v>
      </c>
      <c r="K59" s="2">
        <v>7.0980000000000061</v>
      </c>
    </row>
    <row r="60" spans="1:11" x14ac:dyDescent="0.25">
      <c r="A60" s="2">
        <f>YEAR([1]Data!$D60)</f>
        <v>2013</v>
      </c>
      <c r="B60" s="3">
        <v>41443</v>
      </c>
      <c r="C60" s="3">
        <v>41444</v>
      </c>
      <c r="D60" s="2" t="s">
        <v>11</v>
      </c>
      <c r="E60" s="2" t="s">
        <v>36</v>
      </c>
      <c r="F60" s="2" t="s">
        <v>30</v>
      </c>
      <c r="G60" s="2" t="s">
        <v>18</v>
      </c>
      <c r="H60" s="2">
        <v>14.56</v>
      </c>
      <c r="I60" s="2">
        <v>2</v>
      </c>
      <c r="J60" s="2">
        <v>0</v>
      </c>
      <c r="K60" s="2">
        <v>6.9888000000000003</v>
      </c>
    </row>
    <row r="61" spans="1:11" x14ac:dyDescent="0.25">
      <c r="A61" s="2">
        <f>YEAR([1]Data!$D61)</f>
        <v>2013</v>
      </c>
      <c r="B61" s="3">
        <v>41443</v>
      </c>
      <c r="C61" s="3">
        <v>41444</v>
      </c>
      <c r="D61" s="2" t="s">
        <v>11</v>
      </c>
      <c r="E61" s="2" t="s">
        <v>36</v>
      </c>
      <c r="F61" s="2" t="s">
        <v>30</v>
      </c>
      <c r="G61" s="2" t="s">
        <v>20</v>
      </c>
      <c r="H61" s="2">
        <v>30</v>
      </c>
      <c r="I61" s="2">
        <v>2</v>
      </c>
      <c r="J61" s="2">
        <v>0</v>
      </c>
      <c r="K61" s="2">
        <v>3.3000000000000007</v>
      </c>
    </row>
    <row r="62" spans="1:11" x14ac:dyDescent="0.25">
      <c r="A62" s="2">
        <f>YEAR([1]Data!$D62)</f>
        <v>2013</v>
      </c>
      <c r="B62" s="3">
        <v>41443</v>
      </c>
      <c r="C62" s="3">
        <v>41444</v>
      </c>
      <c r="D62" s="2" t="s">
        <v>11</v>
      </c>
      <c r="E62" s="2" t="s">
        <v>36</v>
      </c>
      <c r="F62" s="2" t="s">
        <v>30</v>
      </c>
      <c r="G62" s="2" t="s">
        <v>18</v>
      </c>
      <c r="H62" s="2">
        <v>48.480000000000004</v>
      </c>
      <c r="I62" s="2">
        <v>4</v>
      </c>
      <c r="J62" s="2">
        <v>0.2</v>
      </c>
      <c r="K62" s="2">
        <v>16.361999999999998</v>
      </c>
    </row>
    <row r="63" spans="1:11" x14ac:dyDescent="0.25">
      <c r="A63" s="2">
        <f>YEAR([1]Data!$D63)</f>
        <v>2013</v>
      </c>
      <c r="B63" s="3">
        <v>41443</v>
      </c>
      <c r="C63" s="3">
        <v>41444</v>
      </c>
      <c r="D63" s="2" t="s">
        <v>11</v>
      </c>
      <c r="E63" s="2" t="s">
        <v>36</v>
      </c>
      <c r="F63" s="2" t="s">
        <v>30</v>
      </c>
      <c r="G63" s="2" t="s">
        <v>18</v>
      </c>
      <c r="H63" s="2">
        <v>1.68</v>
      </c>
      <c r="I63" s="2">
        <v>1</v>
      </c>
      <c r="J63" s="2">
        <v>0</v>
      </c>
      <c r="K63" s="2">
        <v>0.84</v>
      </c>
    </row>
    <row r="64" spans="1:11" x14ac:dyDescent="0.25">
      <c r="A64" s="2">
        <f>YEAR([1]Data!$D64)</f>
        <v>2012</v>
      </c>
      <c r="B64" s="3">
        <v>41237</v>
      </c>
      <c r="C64" s="3">
        <v>41243</v>
      </c>
      <c r="D64" s="2" t="s">
        <v>11</v>
      </c>
      <c r="E64" s="2" t="s">
        <v>16</v>
      </c>
      <c r="F64" s="2" t="s">
        <v>17</v>
      </c>
      <c r="G64" s="2" t="s">
        <v>20</v>
      </c>
      <c r="H64" s="2">
        <v>13.98</v>
      </c>
      <c r="I64" s="2">
        <v>2</v>
      </c>
      <c r="J64" s="2">
        <v>0</v>
      </c>
      <c r="K64" s="2">
        <v>6.1512000000000011</v>
      </c>
    </row>
    <row r="65" spans="1:11" x14ac:dyDescent="0.25">
      <c r="A65" s="2">
        <f>YEAR([1]Data!$D65)</f>
        <v>2012</v>
      </c>
      <c r="B65" s="3">
        <v>41237</v>
      </c>
      <c r="C65" s="3">
        <v>41243</v>
      </c>
      <c r="D65" s="2" t="s">
        <v>11</v>
      </c>
      <c r="E65" s="2" t="s">
        <v>16</v>
      </c>
      <c r="F65" s="2" t="s">
        <v>17</v>
      </c>
      <c r="G65" s="2" t="s">
        <v>18</v>
      </c>
      <c r="H65" s="2">
        <v>25.824000000000002</v>
      </c>
      <c r="I65" s="2">
        <v>6</v>
      </c>
      <c r="J65" s="2">
        <v>0.2</v>
      </c>
      <c r="K65" s="2">
        <v>9.3612000000000002</v>
      </c>
    </row>
    <row r="66" spans="1:11" x14ac:dyDescent="0.25">
      <c r="A66" s="2">
        <f>YEAR([1]Data!$D66)</f>
        <v>2012</v>
      </c>
      <c r="B66" s="3">
        <v>41237</v>
      </c>
      <c r="C66" s="3">
        <v>41243</v>
      </c>
      <c r="D66" s="2" t="s">
        <v>11</v>
      </c>
      <c r="E66" s="2" t="s">
        <v>16</v>
      </c>
      <c r="F66" s="2" t="s">
        <v>17</v>
      </c>
      <c r="G66" s="2" t="s">
        <v>18</v>
      </c>
      <c r="H66" s="2">
        <v>146.72999999999999</v>
      </c>
      <c r="I66" s="2">
        <v>3</v>
      </c>
      <c r="J66" s="2">
        <v>0</v>
      </c>
      <c r="K66" s="2">
        <v>68.963099999999997</v>
      </c>
    </row>
    <row r="67" spans="1:11" x14ac:dyDescent="0.25">
      <c r="A67" s="2">
        <f>YEAR([1]Data!$D67)</f>
        <v>2012</v>
      </c>
      <c r="B67" s="3">
        <v>41237</v>
      </c>
      <c r="C67" s="3">
        <v>41243</v>
      </c>
      <c r="D67" s="2" t="s">
        <v>11</v>
      </c>
      <c r="E67" s="2" t="s">
        <v>16</v>
      </c>
      <c r="F67" s="2" t="s">
        <v>17</v>
      </c>
      <c r="G67" s="2" t="s">
        <v>14</v>
      </c>
      <c r="H67" s="2">
        <v>79.760000000000005</v>
      </c>
      <c r="I67" s="2">
        <v>4</v>
      </c>
      <c r="J67" s="2">
        <v>0</v>
      </c>
      <c r="K67" s="2">
        <v>22.332800000000006</v>
      </c>
    </row>
    <row r="68" spans="1:11" x14ac:dyDescent="0.25">
      <c r="A68" s="2">
        <f>YEAR([1]Data!$D68)</f>
        <v>2012</v>
      </c>
      <c r="B68" s="3">
        <v>41029</v>
      </c>
      <c r="C68" s="3">
        <v>41034</v>
      </c>
      <c r="D68" s="2" t="s">
        <v>23</v>
      </c>
      <c r="E68" s="2" t="s">
        <v>31</v>
      </c>
      <c r="F68" s="2" t="s">
        <v>25</v>
      </c>
      <c r="G68" s="2" t="s">
        <v>14</v>
      </c>
      <c r="H68" s="2">
        <v>213.11499999999998</v>
      </c>
      <c r="I68" s="2">
        <v>5</v>
      </c>
      <c r="J68" s="2">
        <v>0.3</v>
      </c>
      <c r="K68" s="2">
        <v>-15.222500000000011</v>
      </c>
    </row>
    <row r="69" spans="1:11" x14ac:dyDescent="0.25">
      <c r="A69" s="2">
        <f>YEAR([1]Data!$D69)</f>
        <v>2011</v>
      </c>
      <c r="B69" s="3">
        <v>40882</v>
      </c>
      <c r="C69" s="3">
        <v>40887</v>
      </c>
      <c r="D69" s="2" t="s">
        <v>15</v>
      </c>
      <c r="E69" s="2" t="s">
        <v>37</v>
      </c>
      <c r="F69" s="2" t="s">
        <v>17</v>
      </c>
      <c r="G69" s="2" t="s">
        <v>18</v>
      </c>
      <c r="H69" s="2">
        <v>1113.0240000000001</v>
      </c>
      <c r="I69" s="2">
        <v>8</v>
      </c>
      <c r="J69" s="2">
        <v>0.2</v>
      </c>
      <c r="K69" s="2">
        <v>111.30239999999998</v>
      </c>
    </row>
    <row r="70" spans="1:11" x14ac:dyDescent="0.25">
      <c r="A70" s="2">
        <f>YEAR([1]Data!$D70)</f>
        <v>2011</v>
      </c>
      <c r="B70" s="3">
        <v>40882</v>
      </c>
      <c r="C70" s="3">
        <v>40887</v>
      </c>
      <c r="D70" s="2" t="s">
        <v>15</v>
      </c>
      <c r="E70" s="2" t="s">
        <v>37</v>
      </c>
      <c r="F70" s="2" t="s">
        <v>17</v>
      </c>
      <c r="G70" s="2" t="s">
        <v>20</v>
      </c>
      <c r="H70" s="2">
        <v>167.96800000000002</v>
      </c>
      <c r="I70" s="2">
        <v>4</v>
      </c>
      <c r="J70" s="2">
        <v>0.2</v>
      </c>
      <c r="K70" s="2">
        <v>62.988</v>
      </c>
    </row>
    <row r="71" spans="1:11" x14ac:dyDescent="0.25">
      <c r="A71" s="2">
        <f>YEAR([1]Data!$D71)</f>
        <v>2013</v>
      </c>
      <c r="B71" s="3">
        <v>41430</v>
      </c>
      <c r="C71" s="3">
        <v>41432</v>
      </c>
      <c r="D71" s="2" t="s">
        <v>11</v>
      </c>
      <c r="E71" s="2" t="s">
        <v>38</v>
      </c>
      <c r="F71" s="2" t="s">
        <v>13</v>
      </c>
      <c r="G71" s="2" t="s">
        <v>18</v>
      </c>
      <c r="H71" s="2">
        <v>75.88</v>
      </c>
      <c r="I71" s="2">
        <v>2</v>
      </c>
      <c r="J71" s="2">
        <v>0</v>
      </c>
      <c r="K71" s="2">
        <v>35.663599999999995</v>
      </c>
    </row>
    <row r="72" spans="1:11" x14ac:dyDescent="0.25">
      <c r="A72" s="2">
        <f>YEAR([1]Data!$D72)</f>
        <v>2013</v>
      </c>
      <c r="B72" s="3">
        <v>41536</v>
      </c>
      <c r="C72" s="3">
        <v>41541</v>
      </c>
      <c r="D72" s="2" t="s">
        <v>11</v>
      </c>
      <c r="E72" s="2" t="s">
        <v>36</v>
      </c>
      <c r="F72" s="2" t="s">
        <v>30</v>
      </c>
      <c r="G72" s="2" t="s">
        <v>18</v>
      </c>
      <c r="H72" s="2">
        <v>4.6159999999999997</v>
      </c>
      <c r="I72" s="2">
        <v>1</v>
      </c>
      <c r="J72" s="2">
        <v>0.2</v>
      </c>
      <c r="K72" s="2">
        <v>1.7309999999999999</v>
      </c>
    </row>
    <row r="73" spans="1:11" x14ac:dyDescent="0.25">
      <c r="A73" s="2">
        <f>YEAR([1]Data!$D73)</f>
        <v>2014</v>
      </c>
      <c r="B73" s="3">
        <v>41897</v>
      </c>
      <c r="C73" s="3">
        <v>41900</v>
      </c>
      <c r="D73" s="2" t="s">
        <v>11</v>
      </c>
      <c r="E73" s="2" t="s">
        <v>33</v>
      </c>
      <c r="F73" s="2" t="s">
        <v>25</v>
      </c>
      <c r="G73" s="2" t="s">
        <v>18</v>
      </c>
      <c r="H73" s="2">
        <v>19.049999999999997</v>
      </c>
      <c r="I73" s="2">
        <v>3</v>
      </c>
      <c r="J73" s="2">
        <v>0</v>
      </c>
      <c r="K73" s="2">
        <v>8.7629999999999999</v>
      </c>
    </row>
    <row r="74" spans="1:11" x14ac:dyDescent="0.25">
      <c r="A74" s="2">
        <f>YEAR([1]Data!$D74)</f>
        <v>2012</v>
      </c>
      <c r="B74" s="3">
        <v>41025</v>
      </c>
      <c r="C74" s="3">
        <v>41031</v>
      </c>
      <c r="D74" s="2" t="s">
        <v>11</v>
      </c>
      <c r="E74" s="2" t="s">
        <v>39</v>
      </c>
      <c r="F74" s="2" t="s">
        <v>13</v>
      </c>
      <c r="G74" s="2" t="s">
        <v>14</v>
      </c>
      <c r="H74" s="2">
        <v>831.93600000000015</v>
      </c>
      <c r="I74" s="2">
        <v>8</v>
      </c>
      <c r="J74" s="2">
        <v>0.2</v>
      </c>
      <c r="K74" s="2">
        <v>-114.39120000000003</v>
      </c>
    </row>
    <row r="75" spans="1:11" x14ac:dyDescent="0.25">
      <c r="A75" s="2">
        <f>YEAR([1]Data!$D75)</f>
        <v>2012</v>
      </c>
      <c r="B75" s="3">
        <v>41025</v>
      </c>
      <c r="C75" s="3">
        <v>41031</v>
      </c>
      <c r="D75" s="2" t="s">
        <v>11</v>
      </c>
      <c r="E75" s="2" t="s">
        <v>39</v>
      </c>
      <c r="F75" s="2" t="s">
        <v>13</v>
      </c>
      <c r="G75" s="2" t="s">
        <v>14</v>
      </c>
      <c r="H75" s="2">
        <v>97.04</v>
      </c>
      <c r="I75" s="2">
        <v>2</v>
      </c>
      <c r="J75" s="2">
        <v>0.2</v>
      </c>
      <c r="K75" s="2">
        <v>1.2129999999999974</v>
      </c>
    </row>
    <row r="76" spans="1:11" x14ac:dyDescent="0.25">
      <c r="A76" s="2">
        <f>YEAR([1]Data!$D76)</f>
        <v>2012</v>
      </c>
      <c r="B76" s="3">
        <v>41025</v>
      </c>
      <c r="C76" s="3">
        <v>41031</v>
      </c>
      <c r="D76" s="2" t="s">
        <v>11</v>
      </c>
      <c r="E76" s="2" t="s">
        <v>39</v>
      </c>
      <c r="F76" s="2" t="s">
        <v>13</v>
      </c>
      <c r="G76" s="2" t="s">
        <v>18</v>
      </c>
      <c r="H76" s="2">
        <v>72.784000000000006</v>
      </c>
      <c r="I76" s="2">
        <v>1</v>
      </c>
      <c r="J76" s="2">
        <v>0.2</v>
      </c>
      <c r="K76" s="2">
        <v>-18.196000000000002</v>
      </c>
    </row>
    <row r="77" spans="1:11" x14ac:dyDescent="0.25">
      <c r="A77" s="2">
        <f>YEAR([1]Data!$D77)</f>
        <v>2014</v>
      </c>
      <c r="B77" s="3">
        <v>41983</v>
      </c>
      <c r="C77" s="3">
        <v>41985</v>
      </c>
      <c r="D77" s="2" t="s">
        <v>15</v>
      </c>
      <c r="E77" s="2" t="s">
        <v>24</v>
      </c>
      <c r="F77" s="2" t="s">
        <v>25</v>
      </c>
      <c r="G77" s="2" t="s">
        <v>18</v>
      </c>
      <c r="H77" s="2">
        <v>1.2479999999999998</v>
      </c>
      <c r="I77" s="2">
        <v>3</v>
      </c>
      <c r="J77" s="2">
        <v>0.8</v>
      </c>
      <c r="K77" s="2">
        <v>-1.9344000000000006</v>
      </c>
    </row>
    <row r="78" spans="1:11" x14ac:dyDescent="0.25">
      <c r="A78" s="2">
        <f>YEAR([1]Data!$D78)</f>
        <v>2014</v>
      </c>
      <c r="B78" s="3">
        <v>41983</v>
      </c>
      <c r="C78" s="3">
        <v>41985</v>
      </c>
      <c r="D78" s="2" t="s">
        <v>15</v>
      </c>
      <c r="E78" s="2" t="s">
        <v>24</v>
      </c>
      <c r="F78" s="2" t="s">
        <v>25</v>
      </c>
      <c r="G78" s="2" t="s">
        <v>14</v>
      </c>
      <c r="H78" s="2">
        <v>9.7080000000000002</v>
      </c>
      <c r="I78" s="2">
        <v>3</v>
      </c>
      <c r="J78" s="2">
        <v>0.6</v>
      </c>
      <c r="K78" s="2">
        <v>-5.8248000000000015</v>
      </c>
    </row>
    <row r="79" spans="1:11" x14ac:dyDescent="0.25">
      <c r="A79" s="2">
        <f>YEAR([1]Data!$D79)</f>
        <v>2014</v>
      </c>
      <c r="B79" s="3">
        <v>41983</v>
      </c>
      <c r="C79" s="3">
        <v>41985</v>
      </c>
      <c r="D79" s="2" t="s">
        <v>15</v>
      </c>
      <c r="E79" s="2" t="s">
        <v>24</v>
      </c>
      <c r="F79" s="2" t="s">
        <v>25</v>
      </c>
      <c r="G79" s="2" t="s">
        <v>18</v>
      </c>
      <c r="H79" s="2">
        <v>27.240000000000002</v>
      </c>
      <c r="I79" s="2">
        <v>3</v>
      </c>
      <c r="J79" s="2">
        <v>0.2</v>
      </c>
      <c r="K79" s="2">
        <v>2.724000000000002</v>
      </c>
    </row>
    <row r="80" spans="1:11" x14ac:dyDescent="0.25">
      <c r="A80" s="2">
        <f>YEAR([1]Data!$D80)</f>
        <v>2011</v>
      </c>
      <c r="B80" s="3">
        <v>40873</v>
      </c>
      <c r="C80" s="3">
        <v>40878</v>
      </c>
      <c r="D80" s="2" t="s">
        <v>11</v>
      </c>
      <c r="E80" s="2" t="s">
        <v>24</v>
      </c>
      <c r="F80" s="2" t="s">
        <v>25</v>
      </c>
      <c r="G80" s="2" t="s">
        <v>14</v>
      </c>
      <c r="H80" s="2">
        <v>19.3</v>
      </c>
      <c r="I80" s="2">
        <v>5</v>
      </c>
      <c r="J80" s="2">
        <v>0.6</v>
      </c>
      <c r="K80" s="2">
        <v>-14.475000000000001</v>
      </c>
    </row>
    <row r="81" spans="1:11" x14ac:dyDescent="0.25">
      <c r="A81" s="2">
        <f>YEAR([1]Data!$D81)</f>
        <v>2013</v>
      </c>
      <c r="B81" s="3">
        <v>41438</v>
      </c>
      <c r="C81" s="3">
        <v>41441</v>
      </c>
      <c r="D81" s="2" t="s">
        <v>15</v>
      </c>
      <c r="E81" s="2" t="s">
        <v>40</v>
      </c>
      <c r="F81" s="2" t="s">
        <v>13</v>
      </c>
      <c r="G81" s="2" t="s">
        <v>18</v>
      </c>
      <c r="H81" s="2">
        <v>208.16</v>
      </c>
      <c r="I81" s="2">
        <v>1</v>
      </c>
      <c r="J81" s="2">
        <v>0</v>
      </c>
      <c r="K81" s="2">
        <v>56.20320000000001</v>
      </c>
    </row>
    <row r="82" spans="1:11" x14ac:dyDescent="0.25">
      <c r="A82" s="2">
        <f>YEAR([1]Data!$D82)</f>
        <v>2013</v>
      </c>
      <c r="B82" s="3">
        <v>41438</v>
      </c>
      <c r="C82" s="3">
        <v>41441</v>
      </c>
      <c r="D82" s="2" t="s">
        <v>15</v>
      </c>
      <c r="E82" s="2" t="s">
        <v>40</v>
      </c>
      <c r="F82" s="2" t="s">
        <v>13</v>
      </c>
      <c r="G82" s="2" t="s">
        <v>18</v>
      </c>
      <c r="H82" s="2">
        <v>16.740000000000002</v>
      </c>
      <c r="I82" s="2">
        <v>3</v>
      </c>
      <c r="J82" s="2">
        <v>0</v>
      </c>
      <c r="K82" s="2">
        <v>8.0351999999999997</v>
      </c>
    </row>
    <row r="83" spans="1:11" x14ac:dyDescent="0.25">
      <c r="A83" s="2">
        <f>YEAR([1]Data!$D83)</f>
        <v>2011</v>
      </c>
      <c r="B83" s="3">
        <v>40828</v>
      </c>
      <c r="C83" s="3">
        <v>40832</v>
      </c>
      <c r="D83" s="2" t="s">
        <v>11</v>
      </c>
      <c r="E83" s="2" t="s">
        <v>16</v>
      </c>
      <c r="F83" s="2" t="s">
        <v>17</v>
      </c>
      <c r="G83" s="2" t="s">
        <v>18</v>
      </c>
      <c r="H83" s="2">
        <v>14.9</v>
      </c>
      <c r="I83" s="2">
        <v>5</v>
      </c>
      <c r="J83" s="2">
        <v>0</v>
      </c>
      <c r="K83" s="2">
        <v>4.1720000000000006</v>
      </c>
    </row>
    <row r="84" spans="1:11" x14ac:dyDescent="0.25">
      <c r="A84" s="2">
        <f>YEAR([1]Data!$D84)</f>
        <v>2011</v>
      </c>
      <c r="B84" s="3">
        <v>40828</v>
      </c>
      <c r="C84" s="3">
        <v>40832</v>
      </c>
      <c r="D84" s="2" t="s">
        <v>11</v>
      </c>
      <c r="E84" s="2" t="s">
        <v>16</v>
      </c>
      <c r="F84" s="2" t="s">
        <v>17</v>
      </c>
      <c r="G84" s="2" t="s">
        <v>18</v>
      </c>
      <c r="H84" s="2">
        <v>21.39</v>
      </c>
      <c r="I84" s="2">
        <v>1</v>
      </c>
      <c r="J84" s="2">
        <v>0</v>
      </c>
      <c r="K84" s="2">
        <v>6.2030999999999992</v>
      </c>
    </row>
    <row r="85" spans="1:11" x14ac:dyDescent="0.25">
      <c r="A85" s="2">
        <f>YEAR([1]Data!$D85)</f>
        <v>2012</v>
      </c>
      <c r="B85" s="3">
        <v>41155</v>
      </c>
      <c r="C85" s="3">
        <v>41160</v>
      </c>
      <c r="D85" s="2" t="s">
        <v>15</v>
      </c>
      <c r="E85" s="2" t="s">
        <v>21</v>
      </c>
      <c r="F85" s="2" t="s">
        <v>13</v>
      </c>
      <c r="G85" s="2" t="s">
        <v>18</v>
      </c>
      <c r="H85" s="2">
        <v>200.98400000000004</v>
      </c>
      <c r="I85" s="2">
        <v>7</v>
      </c>
      <c r="J85" s="2">
        <v>0.2</v>
      </c>
      <c r="K85" s="2">
        <v>62.807499999999976</v>
      </c>
    </row>
    <row r="86" spans="1:11" x14ac:dyDescent="0.25">
      <c r="A86" s="2">
        <f>YEAR([1]Data!$D86)</f>
        <v>2014</v>
      </c>
      <c r="B86" s="3">
        <v>41957</v>
      </c>
      <c r="C86" s="3">
        <v>41960</v>
      </c>
      <c r="D86" s="2" t="s">
        <v>23</v>
      </c>
      <c r="E86" s="2" t="s">
        <v>31</v>
      </c>
      <c r="F86" s="2" t="s">
        <v>25</v>
      </c>
      <c r="G86" s="2" t="s">
        <v>18</v>
      </c>
      <c r="H86" s="2">
        <v>230.376</v>
      </c>
      <c r="I86" s="2">
        <v>3</v>
      </c>
      <c r="J86" s="2">
        <v>0.2</v>
      </c>
      <c r="K86" s="2">
        <v>-48.954900000000002</v>
      </c>
    </row>
    <row r="87" spans="1:11" x14ac:dyDescent="0.25">
      <c r="A87" s="2">
        <f>YEAR([1]Data!$D87)</f>
        <v>2014</v>
      </c>
      <c r="B87" s="3">
        <v>41788</v>
      </c>
      <c r="C87" s="3">
        <v>41790</v>
      </c>
      <c r="D87" s="2" t="s">
        <v>11</v>
      </c>
      <c r="E87" s="2" t="s">
        <v>41</v>
      </c>
      <c r="F87" s="2" t="s">
        <v>13</v>
      </c>
      <c r="G87" s="2" t="s">
        <v>14</v>
      </c>
      <c r="H87" s="2">
        <v>301.95999999999998</v>
      </c>
      <c r="I87" s="2">
        <v>2</v>
      </c>
      <c r="J87" s="2">
        <v>0</v>
      </c>
      <c r="K87" s="2">
        <v>33.215599999999995</v>
      </c>
    </row>
    <row r="88" spans="1:11" x14ac:dyDescent="0.25">
      <c r="A88" s="2">
        <f>YEAR([1]Data!$D88)</f>
        <v>2014</v>
      </c>
      <c r="B88" s="3">
        <v>41939</v>
      </c>
      <c r="C88" s="3">
        <v>41946</v>
      </c>
      <c r="D88" s="2" t="s">
        <v>11</v>
      </c>
      <c r="E88" s="2" t="s">
        <v>32</v>
      </c>
      <c r="F88" s="2" t="s">
        <v>25</v>
      </c>
      <c r="G88" s="2" t="s">
        <v>20</v>
      </c>
      <c r="H88" s="2">
        <v>19.989999999999998</v>
      </c>
      <c r="I88" s="2">
        <v>1</v>
      </c>
      <c r="J88" s="2">
        <v>0</v>
      </c>
      <c r="K88" s="2">
        <v>6.796599999999998</v>
      </c>
    </row>
    <row r="89" spans="1:11" x14ac:dyDescent="0.25">
      <c r="A89" s="2">
        <f>YEAR([1]Data!$D89)</f>
        <v>2014</v>
      </c>
      <c r="B89" s="3">
        <v>41939</v>
      </c>
      <c r="C89" s="3">
        <v>41946</v>
      </c>
      <c r="D89" s="2" t="s">
        <v>11</v>
      </c>
      <c r="E89" s="2" t="s">
        <v>32</v>
      </c>
      <c r="F89" s="2" t="s">
        <v>25</v>
      </c>
      <c r="G89" s="2" t="s">
        <v>18</v>
      </c>
      <c r="H89" s="2">
        <v>6.16</v>
      </c>
      <c r="I89" s="2">
        <v>2</v>
      </c>
      <c r="J89" s="2">
        <v>0</v>
      </c>
      <c r="K89" s="2">
        <v>2.9567999999999999</v>
      </c>
    </row>
    <row r="90" spans="1:11" x14ac:dyDescent="0.25">
      <c r="A90" s="2">
        <f>YEAR([1]Data!$D90)</f>
        <v>2013</v>
      </c>
      <c r="B90" s="3">
        <v>41370</v>
      </c>
      <c r="C90" s="3">
        <v>41375</v>
      </c>
      <c r="D90" s="2" t="s">
        <v>23</v>
      </c>
      <c r="E90" s="2" t="s">
        <v>24</v>
      </c>
      <c r="F90" s="2" t="s">
        <v>25</v>
      </c>
      <c r="G90" s="2" t="s">
        <v>18</v>
      </c>
      <c r="H90" s="2">
        <v>158.36800000000002</v>
      </c>
      <c r="I90" s="2">
        <v>7</v>
      </c>
      <c r="J90" s="2">
        <v>0.2</v>
      </c>
      <c r="K90" s="2">
        <v>13.857199999999999</v>
      </c>
    </row>
    <row r="91" spans="1:11" x14ac:dyDescent="0.25">
      <c r="A91" s="2">
        <f>YEAR([1]Data!$D91)</f>
        <v>2013</v>
      </c>
      <c r="B91" s="3">
        <v>41535</v>
      </c>
      <c r="C91" s="3">
        <v>41540</v>
      </c>
      <c r="D91" s="2" t="s">
        <v>15</v>
      </c>
      <c r="E91" s="2" t="s">
        <v>16</v>
      </c>
      <c r="F91" s="2" t="s">
        <v>17</v>
      </c>
      <c r="G91" s="2" t="s">
        <v>18</v>
      </c>
      <c r="H91" s="2">
        <v>20.100000000000001</v>
      </c>
      <c r="I91" s="2">
        <v>3</v>
      </c>
      <c r="J91" s="2">
        <v>0</v>
      </c>
      <c r="K91" s="2">
        <v>6.6329999999999982</v>
      </c>
    </row>
    <row r="92" spans="1:11" x14ac:dyDescent="0.25">
      <c r="A92" s="2">
        <f>YEAR([1]Data!$D92)</f>
        <v>2013</v>
      </c>
      <c r="B92" s="3">
        <v>41535</v>
      </c>
      <c r="C92" s="3">
        <v>41540</v>
      </c>
      <c r="D92" s="2" t="s">
        <v>15</v>
      </c>
      <c r="E92" s="2" t="s">
        <v>16</v>
      </c>
      <c r="F92" s="2" t="s">
        <v>17</v>
      </c>
      <c r="G92" s="2" t="s">
        <v>20</v>
      </c>
      <c r="H92" s="2">
        <v>73.584000000000003</v>
      </c>
      <c r="I92" s="2">
        <v>2</v>
      </c>
      <c r="J92" s="2">
        <v>0.2</v>
      </c>
      <c r="K92" s="2">
        <v>8.2781999999999982</v>
      </c>
    </row>
    <row r="93" spans="1:11" x14ac:dyDescent="0.25">
      <c r="A93" s="2">
        <f>YEAR([1]Data!$D93)</f>
        <v>2013</v>
      </c>
      <c r="B93" s="3">
        <v>41535</v>
      </c>
      <c r="C93" s="3">
        <v>41540</v>
      </c>
      <c r="D93" s="2" t="s">
        <v>15</v>
      </c>
      <c r="E93" s="2" t="s">
        <v>16</v>
      </c>
      <c r="F93" s="2" t="s">
        <v>17</v>
      </c>
      <c r="G93" s="2" t="s">
        <v>18</v>
      </c>
      <c r="H93" s="2">
        <v>6.48</v>
      </c>
      <c r="I93" s="2">
        <v>1</v>
      </c>
      <c r="J93" s="2">
        <v>0</v>
      </c>
      <c r="K93" s="2">
        <v>3.1104000000000003</v>
      </c>
    </row>
    <row r="94" spans="1:11" x14ac:dyDescent="0.25">
      <c r="A94" s="2">
        <f>YEAR([1]Data!$D94)</f>
        <v>2012</v>
      </c>
      <c r="B94" s="3">
        <v>40939</v>
      </c>
      <c r="C94" s="3">
        <v>40944</v>
      </c>
      <c r="D94" s="2" t="s">
        <v>11</v>
      </c>
      <c r="E94" s="2" t="s">
        <v>32</v>
      </c>
      <c r="F94" s="2" t="s">
        <v>25</v>
      </c>
      <c r="G94" s="2" t="s">
        <v>18</v>
      </c>
      <c r="H94" s="2">
        <v>12.96</v>
      </c>
      <c r="I94" s="2">
        <v>2</v>
      </c>
      <c r="J94" s="2">
        <v>0</v>
      </c>
      <c r="K94" s="2">
        <v>6.2208000000000006</v>
      </c>
    </row>
    <row r="95" spans="1:11" x14ac:dyDescent="0.25">
      <c r="A95" s="2">
        <f>YEAR([1]Data!$D95)</f>
        <v>2012</v>
      </c>
      <c r="B95" s="3">
        <v>40939</v>
      </c>
      <c r="C95" s="3">
        <v>40944</v>
      </c>
      <c r="D95" s="2" t="s">
        <v>11</v>
      </c>
      <c r="E95" s="2" t="s">
        <v>32</v>
      </c>
      <c r="F95" s="2" t="s">
        <v>25</v>
      </c>
      <c r="G95" s="2" t="s">
        <v>14</v>
      </c>
      <c r="H95" s="2">
        <v>53.34</v>
      </c>
      <c r="I95" s="2">
        <v>3</v>
      </c>
      <c r="J95" s="2">
        <v>0</v>
      </c>
      <c r="K95" s="2">
        <v>16.535399999999996</v>
      </c>
    </row>
    <row r="96" spans="1:11" x14ac:dyDescent="0.25">
      <c r="A96" s="2">
        <f>YEAR([1]Data!$D96)</f>
        <v>2012</v>
      </c>
      <c r="B96" s="3">
        <v>40939</v>
      </c>
      <c r="C96" s="3">
        <v>40944</v>
      </c>
      <c r="D96" s="2" t="s">
        <v>11</v>
      </c>
      <c r="E96" s="2" t="s">
        <v>32</v>
      </c>
      <c r="F96" s="2" t="s">
        <v>25</v>
      </c>
      <c r="G96" s="2" t="s">
        <v>18</v>
      </c>
      <c r="H96" s="2">
        <v>32.96</v>
      </c>
      <c r="I96" s="2">
        <v>2</v>
      </c>
      <c r="J96" s="2">
        <v>0</v>
      </c>
      <c r="K96" s="2">
        <v>16.150400000000001</v>
      </c>
    </row>
    <row r="97" spans="1:11" x14ac:dyDescent="0.25">
      <c r="A97" s="2">
        <f>YEAR([1]Data!$D97)</f>
        <v>2014</v>
      </c>
      <c r="B97" s="3">
        <v>41950</v>
      </c>
      <c r="C97" s="3">
        <v>41956</v>
      </c>
      <c r="D97" s="2" t="s">
        <v>23</v>
      </c>
      <c r="E97" s="2" t="s">
        <v>42</v>
      </c>
      <c r="F97" s="2" t="s">
        <v>17</v>
      </c>
      <c r="G97" s="2" t="s">
        <v>18</v>
      </c>
      <c r="H97" s="2">
        <v>5.6820000000000013</v>
      </c>
      <c r="I97" s="2">
        <v>1</v>
      </c>
      <c r="J97" s="2">
        <v>0.7</v>
      </c>
      <c r="K97" s="2">
        <v>-3.7880000000000003</v>
      </c>
    </row>
    <row r="98" spans="1:11" x14ac:dyDescent="0.25">
      <c r="A98" s="2">
        <f>YEAR([1]Data!$D98)</f>
        <v>2014</v>
      </c>
      <c r="B98" s="3">
        <v>41953</v>
      </c>
      <c r="C98" s="3">
        <v>41955</v>
      </c>
      <c r="D98" s="2" t="s">
        <v>23</v>
      </c>
      <c r="E98" s="2" t="s">
        <v>36</v>
      </c>
      <c r="F98" s="2" t="s">
        <v>30</v>
      </c>
      <c r="G98" s="2" t="s">
        <v>14</v>
      </c>
      <c r="H98" s="2">
        <v>96.53</v>
      </c>
      <c r="I98" s="2">
        <v>7</v>
      </c>
      <c r="J98" s="2">
        <v>0</v>
      </c>
      <c r="K98" s="2">
        <v>40.5426</v>
      </c>
    </row>
    <row r="99" spans="1:11" x14ac:dyDescent="0.25">
      <c r="A99" s="2">
        <f>YEAR([1]Data!$D99)</f>
        <v>2014</v>
      </c>
      <c r="B99" s="3">
        <v>41808</v>
      </c>
      <c r="C99" s="3">
        <v>41811</v>
      </c>
      <c r="D99" s="2" t="s">
        <v>11</v>
      </c>
      <c r="E99" s="2" t="s">
        <v>16</v>
      </c>
      <c r="F99" s="2" t="s">
        <v>17</v>
      </c>
      <c r="G99" s="2" t="s">
        <v>18</v>
      </c>
      <c r="H99" s="2">
        <v>51.311999999999998</v>
      </c>
      <c r="I99" s="2">
        <v>3</v>
      </c>
      <c r="J99" s="2">
        <v>0.2</v>
      </c>
      <c r="K99" s="2">
        <v>17.959199999999999</v>
      </c>
    </row>
    <row r="100" spans="1:11" x14ac:dyDescent="0.25">
      <c r="A100" s="2">
        <f>YEAR([1]Data!$D100)</f>
        <v>2013</v>
      </c>
      <c r="B100" s="3">
        <v>41524</v>
      </c>
      <c r="C100" s="3">
        <v>41529</v>
      </c>
      <c r="D100" s="2" t="s">
        <v>15</v>
      </c>
      <c r="E100" s="2" t="s">
        <v>32</v>
      </c>
      <c r="F100" s="2" t="s">
        <v>25</v>
      </c>
      <c r="G100" s="2" t="s">
        <v>18</v>
      </c>
      <c r="H100" s="2">
        <v>77.88</v>
      </c>
      <c r="I100" s="2">
        <v>6</v>
      </c>
      <c r="J100" s="2">
        <v>0</v>
      </c>
      <c r="K100" s="2">
        <v>22.585199999999993</v>
      </c>
    </row>
  </sheetData>
  <pageMargins left="0.7" right="0.7" top="0.75" bottom="0.75" header="0.3" footer="0.3"/>
  <drawing r:id="rId1"/>
  <extLst>
    <ext xmlns:x15="http://schemas.microsoft.com/office/spreadsheetml/2010/11/main" uri="{F7C9EE02-42E1-4005-9D12-6889AFFD525C}">
      <x15:webExtensions xmlns:xm="http://schemas.microsoft.com/office/excel/2006/main">
        <x15:webExtension appRef="{3405F1E3-87F9-4B85-9757-6BD5435BF848}">
          <xm:f>Sheet2!$N$6:$O$9</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2826-16C6-4E49-BA9F-A624466CB867}">
  <dimension ref="H6:I16"/>
  <sheetViews>
    <sheetView workbookViewId="0">
      <selection activeCell="N4" sqref="N4"/>
    </sheetView>
  </sheetViews>
  <sheetFormatPr defaultRowHeight="15" x14ac:dyDescent="0.25"/>
  <cols>
    <col min="8" max="8" width="10.42578125" bestFit="1" customWidth="1"/>
  </cols>
  <sheetData>
    <row r="6" spans="8:9" x14ac:dyDescent="0.25">
      <c r="H6" s="5">
        <v>45581</v>
      </c>
    </row>
    <row r="12" spans="8:9" x14ac:dyDescent="0.25">
      <c r="H12" s="5">
        <v>45423</v>
      </c>
    </row>
    <row r="16" spans="8:9" x14ac:dyDescent="0.25">
      <c r="I16" s="6">
        <v>0.51666666666666672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7D16-EB43-4F9F-9D8E-8D5A40B20566}">
  <dimension ref="A1:B100"/>
  <sheetViews>
    <sheetView workbookViewId="0">
      <selection activeCell="N2" sqref="N2"/>
    </sheetView>
  </sheetViews>
  <sheetFormatPr defaultRowHeight="15" x14ac:dyDescent="0.25"/>
  <cols>
    <col min="1" max="1" width="14.140625" bestFit="1" customWidth="1"/>
    <col min="2" max="2" width="9" bestFit="1" customWidth="1"/>
  </cols>
  <sheetData>
    <row r="1" spans="1:2" x14ac:dyDescent="0.25">
      <c r="A1" t="s">
        <v>4</v>
      </c>
      <c r="B1" t="s">
        <v>7</v>
      </c>
    </row>
    <row r="2" spans="1:2" x14ac:dyDescent="0.25">
      <c r="A2" t="s">
        <v>12</v>
      </c>
      <c r="B2">
        <v>261.95999999999998</v>
      </c>
    </row>
    <row r="3" spans="1:2" x14ac:dyDescent="0.25">
      <c r="A3" t="s">
        <v>12</v>
      </c>
      <c r="B3">
        <v>731.93999999999994</v>
      </c>
    </row>
    <row r="4" spans="1:2" x14ac:dyDescent="0.25">
      <c r="A4" t="s">
        <v>16</v>
      </c>
      <c r="B4">
        <v>14.62</v>
      </c>
    </row>
    <row r="5" spans="1:2" x14ac:dyDescent="0.25">
      <c r="A5" t="s">
        <v>19</v>
      </c>
      <c r="B5">
        <v>957.57749999999999</v>
      </c>
    </row>
    <row r="6" spans="1:2" x14ac:dyDescent="0.25">
      <c r="A6" t="s">
        <v>19</v>
      </c>
      <c r="B6">
        <v>22.368000000000002</v>
      </c>
    </row>
    <row r="7" spans="1:2" x14ac:dyDescent="0.25">
      <c r="A7" t="s">
        <v>16</v>
      </c>
      <c r="B7">
        <v>48.86</v>
      </c>
    </row>
    <row r="8" spans="1:2" x14ac:dyDescent="0.25">
      <c r="A8" t="s">
        <v>16</v>
      </c>
      <c r="B8">
        <v>7.28</v>
      </c>
    </row>
    <row r="9" spans="1:2" x14ac:dyDescent="0.25">
      <c r="A9" t="s">
        <v>16</v>
      </c>
      <c r="B9">
        <v>907.15200000000004</v>
      </c>
    </row>
    <row r="10" spans="1:2" x14ac:dyDescent="0.25">
      <c r="A10" t="s">
        <v>16</v>
      </c>
      <c r="B10">
        <v>18.504000000000001</v>
      </c>
    </row>
    <row r="11" spans="1:2" x14ac:dyDescent="0.25">
      <c r="A11" t="s">
        <v>16</v>
      </c>
      <c r="B11">
        <v>114.9</v>
      </c>
    </row>
    <row r="12" spans="1:2" x14ac:dyDescent="0.25">
      <c r="A12" t="s">
        <v>16</v>
      </c>
      <c r="B12">
        <v>1706.1840000000002</v>
      </c>
    </row>
    <row r="13" spans="1:2" x14ac:dyDescent="0.25">
      <c r="A13" t="s">
        <v>16</v>
      </c>
      <c r="B13">
        <v>911.42399999999998</v>
      </c>
    </row>
    <row r="14" spans="1:2" x14ac:dyDescent="0.25">
      <c r="A14" t="s">
        <v>21</v>
      </c>
      <c r="B14">
        <v>15.552000000000003</v>
      </c>
    </row>
    <row r="15" spans="1:2" x14ac:dyDescent="0.25">
      <c r="A15" t="s">
        <v>22</v>
      </c>
      <c r="B15">
        <v>407.97600000000006</v>
      </c>
    </row>
    <row r="16" spans="1:2" x14ac:dyDescent="0.25">
      <c r="A16" t="s">
        <v>24</v>
      </c>
      <c r="B16">
        <v>68.809999999999988</v>
      </c>
    </row>
    <row r="17" spans="1:2" x14ac:dyDescent="0.25">
      <c r="A17" t="s">
        <v>24</v>
      </c>
      <c r="B17">
        <v>2.5439999999999996</v>
      </c>
    </row>
    <row r="18" spans="1:2" x14ac:dyDescent="0.25">
      <c r="A18" t="s">
        <v>26</v>
      </c>
      <c r="B18">
        <v>665.88</v>
      </c>
    </row>
    <row r="19" spans="1:2" x14ac:dyDescent="0.25">
      <c r="A19" t="s">
        <v>27</v>
      </c>
      <c r="B19">
        <v>55.5</v>
      </c>
    </row>
    <row r="20" spans="1:2" x14ac:dyDescent="0.25">
      <c r="A20" t="s">
        <v>16</v>
      </c>
      <c r="B20">
        <v>8.56</v>
      </c>
    </row>
    <row r="21" spans="1:2" x14ac:dyDescent="0.25">
      <c r="A21" t="s">
        <v>16</v>
      </c>
      <c r="B21">
        <v>213.48000000000002</v>
      </c>
    </row>
    <row r="22" spans="1:2" x14ac:dyDescent="0.25">
      <c r="A22" t="s">
        <v>16</v>
      </c>
      <c r="B22">
        <v>22.72</v>
      </c>
    </row>
    <row r="23" spans="1:2" x14ac:dyDescent="0.25">
      <c r="A23" t="s">
        <v>28</v>
      </c>
      <c r="B23">
        <v>19.459999999999997</v>
      </c>
    </row>
    <row r="24" spans="1:2" x14ac:dyDescent="0.25">
      <c r="A24" t="s">
        <v>28</v>
      </c>
      <c r="B24">
        <v>60.339999999999996</v>
      </c>
    </row>
    <row r="25" spans="1:2" x14ac:dyDescent="0.25">
      <c r="A25" t="s">
        <v>29</v>
      </c>
      <c r="B25">
        <v>71.371999999999986</v>
      </c>
    </row>
    <row r="26" spans="1:2" x14ac:dyDescent="0.25">
      <c r="A26" t="s">
        <v>27</v>
      </c>
      <c r="B26">
        <v>1044.6299999999999</v>
      </c>
    </row>
    <row r="27" spans="1:2" x14ac:dyDescent="0.25">
      <c r="A27" t="s">
        <v>16</v>
      </c>
      <c r="B27">
        <v>11.648000000000001</v>
      </c>
    </row>
    <row r="28" spans="1:2" x14ac:dyDescent="0.25">
      <c r="A28" t="s">
        <v>16</v>
      </c>
      <c r="B28">
        <v>90.570000000000007</v>
      </c>
    </row>
    <row r="29" spans="1:2" x14ac:dyDescent="0.25">
      <c r="A29" t="s">
        <v>29</v>
      </c>
      <c r="B29">
        <v>3083.4300000000003</v>
      </c>
    </row>
    <row r="30" spans="1:2" x14ac:dyDescent="0.25">
      <c r="A30" t="s">
        <v>29</v>
      </c>
      <c r="B30">
        <v>9.6180000000000021</v>
      </c>
    </row>
    <row r="31" spans="1:2" x14ac:dyDescent="0.25">
      <c r="A31" t="s">
        <v>29</v>
      </c>
      <c r="B31">
        <v>124.20000000000002</v>
      </c>
    </row>
    <row r="32" spans="1:2" x14ac:dyDescent="0.25">
      <c r="A32" t="s">
        <v>29</v>
      </c>
      <c r="B32">
        <v>3.2640000000000002</v>
      </c>
    </row>
    <row r="33" spans="1:2" x14ac:dyDescent="0.25">
      <c r="A33" t="s">
        <v>29</v>
      </c>
      <c r="B33">
        <v>86.304000000000002</v>
      </c>
    </row>
    <row r="34" spans="1:2" x14ac:dyDescent="0.25">
      <c r="A34" t="s">
        <v>29</v>
      </c>
      <c r="B34">
        <v>6.8580000000000014</v>
      </c>
    </row>
    <row r="35" spans="1:2" x14ac:dyDescent="0.25">
      <c r="A35" t="s">
        <v>29</v>
      </c>
      <c r="B35">
        <v>15.76</v>
      </c>
    </row>
    <row r="36" spans="1:2" x14ac:dyDescent="0.25">
      <c r="A36" t="s">
        <v>24</v>
      </c>
      <c r="B36">
        <v>29.472000000000001</v>
      </c>
    </row>
    <row r="37" spans="1:2" x14ac:dyDescent="0.25">
      <c r="A37" t="s">
        <v>24</v>
      </c>
      <c r="B37">
        <v>1097.5440000000003</v>
      </c>
    </row>
    <row r="38" spans="1:2" x14ac:dyDescent="0.25">
      <c r="A38" t="s">
        <v>24</v>
      </c>
      <c r="B38">
        <v>190.92</v>
      </c>
    </row>
    <row r="39" spans="1:2" x14ac:dyDescent="0.25">
      <c r="A39" t="s">
        <v>24</v>
      </c>
      <c r="B39">
        <v>113.328</v>
      </c>
    </row>
    <row r="40" spans="1:2" x14ac:dyDescent="0.25">
      <c r="A40" t="s">
        <v>24</v>
      </c>
      <c r="B40">
        <v>532.39919999999995</v>
      </c>
    </row>
    <row r="41" spans="1:2" x14ac:dyDescent="0.25">
      <c r="A41" t="s">
        <v>24</v>
      </c>
      <c r="B41">
        <v>212.05799999999999</v>
      </c>
    </row>
    <row r="42" spans="1:2" x14ac:dyDescent="0.25">
      <c r="A42" t="s">
        <v>24</v>
      </c>
      <c r="B42">
        <v>371.16800000000001</v>
      </c>
    </row>
    <row r="43" spans="1:2" x14ac:dyDescent="0.25">
      <c r="A43" t="s">
        <v>31</v>
      </c>
      <c r="B43">
        <v>147.16800000000001</v>
      </c>
    </row>
    <row r="44" spans="1:2" x14ac:dyDescent="0.25">
      <c r="A44" t="s">
        <v>16</v>
      </c>
      <c r="B44">
        <v>77.88</v>
      </c>
    </row>
    <row r="45" spans="1:2" x14ac:dyDescent="0.25">
      <c r="A45" t="s">
        <v>19</v>
      </c>
      <c r="B45">
        <v>95.616</v>
      </c>
    </row>
    <row r="46" spans="1:2" x14ac:dyDescent="0.25">
      <c r="A46" t="s">
        <v>32</v>
      </c>
      <c r="B46">
        <v>45.98</v>
      </c>
    </row>
    <row r="47" spans="1:2" x14ac:dyDescent="0.25">
      <c r="A47" t="s">
        <v>32</v>
      </c>
      <c r="B47">
        <v>17.46</v>
      </c>
    </row>
    <row r="48" spans="1:2" x14ac:dyDescent="0.25">
      <c r="A48" t="s">
        <v>33</v>
      </c>
      <c r="B48">
        <v>211.96</v>
      </c>
    </row>
    <row r="49" spans="1:2" x14ac:dyDescent="0.25">
      <c r="A49" t="s">
        <v>34</v>
      </c>
      <c r="B49">
        <v>45</v>
      </c>
    </row>
    <row r="50" spans="1:2" x14ac:dyDescent="0.25">
      <c r="A50" t="s">
        <v>34</v>
      </c>
      <c r="B50">
        <v>21.8</v>
      </c>
    </row>
    <row r="51" spans="1:2" x14ac:dyDescent="0.25">
      <c r="A51" t="s">
        <v>35</v>
      </c>
      <c r="B51">
        <v>38.22</v>
      </c>
    </row>
    <row r="52" spans="1:2" x14ac:dyDescent="0.25">
      <c r="A52" t="s">
        <v>35</v>
      </c>
      <c r="B52">
        <v>75.179999999999993</v>
      </c>
    </row>
    <row r="53" spans="1:2" x14ac:dyDescent="0.25">
      <c r="A53" t="s">
        <v>35</v>
      </c>
      <c r="B53">
        <v>6.16</v>
      </c>
    </row>
    <row r="54" spans="1:2" x14ac:dyDescent="0.25">
      <c r="A54" t="s">
        <v>35</v>
      </c>
      <c r="B54">
        <v>89.99</v>
      </c>
    </row>
    <row r="55" spans="1:2" x14ac:dyDescent="0.25">
      <c r="A55" t="s">
        <v>36</v>
      </c>
      <c r="B55">
        <v>15.260000000000002</v>
      </c>
    </row>
    <row r="56" spans="1:2" x14ac:dyDescent="0.25">
      <c r="A56" t="s">
        <v>36</v>
      </c>
      <c r="B56">
        <v>1029.95</v>
      </c>
    </row>
    <row r="57" spans="1:2" x14ac:dyDescent="0.25">
      <c r="A57" t="s">
        <v>36</v>
      </c>
      <c r="B57">
        <v>208.56</v>
      </c>
    </row>
    <row r="58" spans="1:2" x14ac:dyDescent="0.25">
      <c r="A58" t="s">
        <v>36</v>
      </c>
      <c r="B58">
        <v>32.400000000000006</v>
      </c>
    </row>
    <row r="59" spans="1:2" x14ac:dyDescent="0.25">
      <c r="A59" t="s">
        <v>36</v>
      </c>
      <c r="B59">
        <v>319.41000000000003</v>
      </c>
    </row>
    <row r="60" spans="1:2" x14ac:dyDescent="0.25">
      <c r="A60" t="s">
        <v>36</v>
      </c>
      <c r="B60">
        <v>14.56</v>
      </c>
    </row>
    <row r="61" spans="1:2" x14ac:dyDescent="0.25">
      <c r="A61" t="s">
        <v>36</v>
      </c>
      <c r="B61">
        <v>30</v>
      </c>
    </row>
    <row r="62" spans="1:2" x14ac:dyDescent="0.25">
      <c r="A62" t="s">
        <v>36</v>
      </c>
      <c r="B62">
        <v>48.480000000000004</v>
      </c>
    </row>
    <row r="63" spans="1:2" x14ac:dyDescent="0.25">
      <c r="A63" t="s">
        <v>36</v>
      </c>
      <c r="B63">
        <v>1.68</v>
      </c>
    </row>
    <row r="64" spans="1:2" x14ac:dyDescent="0.25">
      <c r="A64" t="s">
        <v>16</v>
      </c>
      <c r="B64">
        <v>13.98</v>
      </c>
    </row>
    <row r="65" spans="1:2" x14ac:dyDescent="0.25">
      <c r="A65" t="s">
        <v>16</v>
      </c>
      <c r="B65">
        <v>25.824000000000002</v>
      </c>
    </row>
    <row r="66" spans="1:2" x14ac:dyDescent="0.25">
      <c r="A66" t="s">
        <v>16</v>
      </c>
      <c r="B66">
        <v>146.72999999999999</v>
      </c>
    </row>
    <row r="67" spans="1:2" x14ac:dyDescent="0.25">
      <c r="A67" t="s">
        <v>16</v>
      </c>
      <c r="B67">
        <v>79.760000000000005</v>
      </c>
    </row>
    <row r="68" spans="1:2" x14ac:dyDescent="0.25">
      <c r="A68" t="s">
        <v>31</v>
      </c>
      <c r="B68">
        <v>213.11499999999998</v>
      </c>
    </row>
    <row r="69" spans="1:2" x14ac:dyDescent="0.25">
      <c r="A69" t="s">
        <v>37</v>
      </c>
      <c r="B69">
        <v>1113.0240000000001</v>
      </c>
    </row>
    <row r="70" spans="1:2" x14ac:dyDescent="0.25">
      <c r="A70" t="s">
        <v>37</v>
      </c>
      <c r="B70">
        <v>167.96800000000002</v>
      </c>
    </row>
    <row r="71" spans="1:2" x14ac:dyDescent="0.25">
      <c r="A71" t="s">
        <v>38</v>
      </c>
      <c r="B71">
        <v>75.88</v>
      </c>
    </row>
    <row r="72" spans="1:2" x14ac:dyDescent="0.25">
      <c r="A72" t="s">
        <v>36</v>
      </c>
      <c r="B72">
        <v>4.6159999999999997</v>
      </c>
    </row>
    <row r="73" spans="1:2" x14ac:dyDescent="0.25">
      <c r="A73" t="s">
        <v>33</v>
      </c>
      <c r="B73">
        <v>19.049999999999997</v>
      </c>
    </row>
    <row r="74" spans="1:2" x14ac:dyDescent="0.25">
      <c r="A74" t="s">
        <v>39</v>
      </c>
      <c r="B74">
        <v>831.93600000000015</v>
      </c>
    </row>
    <row r="75" spans="1:2" x14ac:dyDescent="0.25">
      <c r="A75" t="s">
        <v>39</v>
      </c>
      <c r="B75">
        <v>97.04</v>
      </c>
    </row>
    <row r="76" spans="1:2" x14ac:dyDescent="0.25">
      <c r="A76" t="s">
        <v>39</v>
      </c>
      <c r="B76">
        <v>72.784000000000006</v>
      </c>
    </row>
    <row r="77" spans="1:2" x14ac:dyDescent="0.25">
      <c r="A77" t="s">
        <v>24</v>
      </c>
      <c r="B77">
        <v>1.2479999999999998</v>
      </c>
    </row>
    <row r="78" spans="1:2" x14ac:dyDescent="0.25">
      <c r="A78" t="s">
        <v>24</v>
      </c>
      <c r="B78">
        <v>9.7080000000000002</v>
      </c>
    </row>
    <row r="79" spans="1:2" x14ac:dyDescent="0.25">
      <c r="A79" t="s">
        <v>24</v>
      </c>
      <c r="B79">
        <v>27.240000000000002</v>
      </c>
    </row>
    <row r="80" spans="1:2" x14ac:dyDescent="0.25">
      <c r="A80" t="s">
        <v>24</v>
      </c>
      <c r="B80">
        <v>19.3</v>
      </c>
    </row>
    <row r="81" spans="1:2" x14ac:dyDescent="0.25">
      <c r="A81" t="s">
        <v>40</v>
      </c>
      <c r="B81">
        <v>208.16</v>
      </c>
    </row>
    <row r="82" spans="1:2" x14ac:dyDescent="0.25">
      <c r="A82" t="s">
        <v>40</v>
      </c>
      <c r="B82">
        <v>16.740000000000002</v>
      </c>
    </row>
    <row r="83" spans="1:2" x14ac:dyDescent="0.25">
      <c r="A83" t="s">
        <v>16</v>
      </c>
      <c r="B83">
        <v>14.9</v>
      </c>
    </row>
    <row r="84" spans="1:2" x14ac:dyDescent="0.25">
      <c r="A84" t="s">
        <v>16</v>
      </c>
      <c r="B84">
        <v>21.39</v>
      </c>
    </row>
    <row r="85" spans="1:2" x14ac:dyDescent="0.25">
      <c r="A85" t="s">
        <v>21</v>
      </c>
      <c r="B85">
        <v>200.98400000000004</v>
      </c>
    </row>
    <row r="86" spans="1:2" x14ac:dyDescent="0.25">
      <c r="A86" t="s">
        <v>31</v>
      </c>
      <c r="B86">
        <v>230.376</v>
      </c>
    </row>
    <row r="87" spans="1:2" x14ac:dyDescent="0.25">
      <c r="A87" t="s">
        <v>41</v>
      </c>
      <c r="B87">
        <v>301.95999999999998</v>
      </c>
    </row>
    <row r="88" spans="1:2" x14ac:dyDescent="0.25">
      <c r="A88" t="s">
        <v>32</v>
      </c>
      <c r="B88">
        <v>19.989999999999998</v>
      </c>
    </row>
    <row r="89" spans="1:2" x14ac:dyDescent="0.25">
      <c r="A89" t="s">
        <v>32</v>
      </c>
      <c r="B89">
        <v>6.16</v>
      </c>
    </row>
    <row r="90" spans="1:2" x14ac:dyDescent="0.25">
      <c r="A90" t="s">
        <v>24</v>
      </c>
      <c r="B90">
        <v>158.36800000000002</v>
      </c>
    </row>
    <row r="91" spans="1:2" x14ac:dyDescent="0.25">
      <c r="A91" t="s">
        <v>16</v>
      </c>
      <c r="B91">
        <v>20.100000000000001</v>
      </c>
    </row>
    <row r="92" spans="1:2" x14ac:dyDescent="0.25">
      <c r="A92" t="s">
        <v>16</v>
      </c>
      <c r="B92">
        <v>73.584000000000003</v>
      </c>
    </row>
    <row r="93" spans="1:2" x14ac:dyDescent="0.25">
      <c r="A93" t="s">
        <v>16</v>
      </c>
      <c r="B93">
        <v>6.48</v>
      </c>
    </row>
    <row r="94" spans="1:2" x14ac:dyDescent="0.25">
      <c r="A94" t="s">
        <v>32</v>
      </c>
      <c r="B94">
        <v>12.96</v>
      </c>
    </row>
    <row r="95" spans="1:2" x14ac:dyDescent="0.25">
      <c r="A95" t="s">
        <v>32</v>
      </c>
      <c r="B95">
        <v>53.34</v>
      </c>
    </row>
    <row r="96" spans="1:2" x14ac:dyDescent="0.25">
      <c r="A96" t="s">
        <v>32</v>
      </c>
      <c r="B96">
        <v>32.96</v>
      </c>
    </row>
    <row r="97" spans="1:2" x14ac:dyDescent="0.25">
      <c r="A97" t="s">
        <v>42</v>
      </c>
      <c r="B97">
        <v>5.6820000000000013</v>
      </c>
    </row>
    <row r="98" spans="1:2" x14ac:dyDescent="0.25">
      <c r="A98" t="s">
        <v>36</v>
      </c>
      <c r="B98">
        <v>96.53</v>
      </c>
    </row>
    <row r="99" spans="1:2" x14ac:dyDescent="0.25">
      <c r="A99" t="s">
        <v>16</v>
      </c>
      <c r="B99">
        <v>51.311999999999998</v>
      </c>
    </row>
    <row r="100" spans="1:2" x14ac:dyDescent="0.25">
      <c r="A100" t="s">
        <v>32</v>
      </c>
      <c r="B100">
        <v>77.88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3A6F-2B14-4B5D-A7C3-C0D8093D4FA5}">
  <dimension ref="A1:B100"/>
  <sheetViews>
    <sheetView workbookViewId="0">
      <selection activeCell="AB8" sqref="AB8"/>
    </sheetView>
  </sheetViews>
  <sheetFormatPr defaultRowHeight="15" x14ac:dyDescent="0.25"/>
  <cols>
    <col min="1" max="1" width="14.140625" bestFit="1" customWidth="1"/>
    <col min="2" max="2" width="9" bestFit="1" customWidth="1"/>
  </cols>
  <sheetData>
    <row r="1" spans="1:2" x14ac:dyDescent="0.25">
      <c r="A1" t="s">
        <v>4</v>
      </c>
      <c r="B1" t="s">
        <v>7</v>
      </c>
    </row>
    <row r="2" spans="1:2" x14ac:dyDescent="0.25">
      <c r="A2" t="s">
        <v>12</v>
      </c>
      <c r="B2">
        <v>261.95999999999998</v>
      </c>
    </row>
    <row r="3" spans="1:2" x14ac:dyDescent="0.25">
      <c r="A3" t="s">
        <v>12</v>
      </c>
      <c r="B3">
        <v>731.93999999999994</v>
      </c>
    </row>
    <row r="4" spans="1:2" x14ac:dyDescent="0.25">
      <c r="A4" t="s">
        <v>16</v>
      </c>
      <c r="B4">
        <v>14.62</v>
      </c>
    </row>
    <row r="5" spans="1:2" x14ac:dyDescent="0.25">
      <c r="A5" t="s">
        <v>19</v>
      </c>
      <c r="B5">
        <v>957.57749999999999</v>
      </c>
    </row>
    <row r="6" spans="1:2" x14ac:dyDescent="0.25">
      <c r="A6" t="s">
        <v>19</v>
      </c>
      <c r="B6">
        <v>22.368000000000002</v>
      </c>
    </row>
    <row r="7" spans="1:2" x14ac:dyDescent="0.25">
      <c r="A7" t="s">
        <v>16</v>
      </c>
      <c r="B7">
        <v>48.86</v>
      </c>
    </row>
    <row r="8" spans="1:2" x14ac:dyDescent="0.25">
      <c r="A8" t="s">
        <v>16</v>
      </c>
      <c r="B8">
        <v>7.28</v>
      </c>
    </row>
    <row r="9" spans="1:2" x14ac:dyDescent="0.25">
      <c r="A9" t="s">
        <v>16</v>
      </c>
      <c r="B9">
        <v>907.15200000000004</v>
      </c>
    </row>
    <row r="10" spans="1:2" x14ac:dyDescent="0.25">
      <c r="A10" t="s">
        <v>16</v>
      </c>
      <c r="B10">
        <v>18.504000000000001</v>
      </c>
    </row>
    <row r="11" spans="1:2" x14ac:dyDescent="0.25">
      <c r="A11" t="s">
        <v>16</v>
      </c>
      <c r="B11">
        <v>114.9</v>
      </c>
    </row>
    <row r="12" spans="1:2" x14ac:dyDescent="0.25">
      <c r="A12" t="s">
        <v>16</v>
      </c>
      <c r="B12">
        <v>1706.1840000000002</v>
      </c>
    </row>
    <row r="13" spans="1:2" x14ac:dyDescent="0.25">
      <c r="A13" t="s">
        <v>16</v>
      </c>
      <c r="B13">
        <v>911.42399999999998</v>
      </c>
    </row>
    <row r="14" spans="1:2" x14ac:dyDescent="0.25">
      <c r="A14" t="s">
        <v>21</v>
      </c>
      <c r="B14">
        <v>15.552000000000003</v>
      </c>
    </row>
    <row r="15" spans="1:2" x14ac:dyDescent="0.25">
      <c r="A15" t="s">
        <v>22</v>
      </c>
      <c r="B15">
        <v>407.97600000000006</v>
      </c>
    </row>
    <row r="16" spans="1:2" x14ac:dyDescent="0.25">
      <c r="A16" t="s">
        <v>24</v>
      </c>
      <c r="B16">
        <v>68.809999999999988</v>
      </c>
    </row>
    <row r="17" spans="1:2" x14ac:dyDescent="0.25">
      <c r="A17" t="s">
        <v>24</v>
      </c>
      <c r="B17">
        <v>2.5439999999999996</v>
      </c>
    </row>
    <row r="18" spans="1:2" x14ac:dyDescent="0.25">
      <c r="A18" t="s">
        <v>26</v>
      </c>
      <c r="B18">
        <v>665.88</v>
      </c>
    </row>
    <row r="19" spans="1:2" x14ac:dyDescent="0.25">
      <c r="A19" t="s">
        <v>27</v>
      </c>
      <c r="B19">
        <v>55.5</v>
      </c>
    </row>
    <row r="20" spans="1:2" x14ac:dyDescent="0.25">
      <c r="A20" t="s">
        <v>16</v>
      </c>
      <c r="B20">
        <v>8.56</v>
      </c>
    </row>
    <row r="21" spans="1:2" x14ac:dyDescent="0.25">
      <c r="A21" t="s">
        <v>16</v>
      </c>
      <c r="B21">
        <v>213.48000000000002</v>
      </c>
    </row>
    <row r="22" spans="1:2" x14ac:dyDescent="0.25">
      <c r="A22" t="s">
        <v>16</v>
      </c>
      <c r="B22">
        <v>22.72</v>
      </c>
    </row>
    <row r="23" spans="1:2" x14ac:dyDescent="0.25">
      <c r="A23" t="s">
        <v>28</v>
      </c>
      <c r="B23">
        <v>19.459999999999997</v>
      </c>
    </row>
    <row r="24" spans="1:2" x14ac:dyDescent="0.25">
      <c r="A24" t="s">
        <v>28</v>
      </c>
      <c r="B24">
        <v>60.339999999999996</v>
      </c>
    </row>
    <row r="25" spans="1:2" x14ac:dyDescent="0.25">
      <c r="A25" t="s">
        <v>29</v>
      </c>
      <c r="B25">
        <v>71.371999999999986</v>
      </c>
    </row>
    <row r="26" spans="1:2" x14ac:dyDescent="0.25">
      <c r="A26" t="s">
        <v>27</v>
      </c>
      <c r="B26">
        <v>1044.6299999999999</v>
      </c>
    </row>
    <row r="27" spans="1:2" x14ac:dyDescent="0.25">
      <c r="A27" t="s">
        <v>16</v>
      </c>
      <c r="B27">
        <v>11.648000000000001</v>
      </c>
    </row>
    <row r="28" spans="1:2" x14ac:dyDescent="0.25">
      <c r="A28" t="s">
        <v>16</v>
      </c>
      <c r="B28">
        <v>90.570000000000007</v>
      </c>
    </row>
    <row r="29" spans="1:2" x14ac:dyDescent="0.25">
      <c r="A29" t="s">
        <v>29</v>
      </c>
      <c r="B29">
        <v>3083.4300000000003</v>
      </c>
    </row>
    <row r="30" spans="1:2" x14ac:dyDescent="0.25">
      <c r="A30" t="s">
        <v>29</v>
      </c>
      <c r="B30">
        <v>9.6180000000000021</v>
      </c>
    </row>
    <row r="31" spans="1:2" x14ac:dyDescent="0.25">
      <c r="A31" t="s">
        <v>29</v>
      </c>
      <c r="B31">
        <v>124.20000000000002</v>
      </c>
    </row>
    <row r="32" spans="1:2" x14ac:dyDescent="0.25">
      <c r="A32" t="s">
        <v>29</v>
      </c>
      <c r="B32">
        <v>3.2640000000000002</v>
      </c>
    </row>
    <row r="33" spans="1:2" x14ac:dyDescent="0.25">
      <c r="A33" t="s">
        <v>29</v>
      </c>
      <c r="B33">
        <v>86.304000000000002</v>
      </c>
    </row>
    <row r="34" spans="1:2" x14ac:dyDescent="0.25">
      <c r="A34" t="s">
        <v>29</v>
      </c>
      <c r="B34">
        <v>6.8580000000000014</v>
      </c>
    </row>
    <row r="35" spans="1:2" x14ac:dyDescent="0.25">
      <c r="A35" t="s">
        <v>29</v>
      </c>
      <c r="B35">
        <v>15.76</v>
      </c>
    </row>
    <row r="36" spans="1:2" x14ac:dyDescent="0.25">
      <c r="A36" t="s">
        <v>24</v>
      </c>
      <c r="B36">
        <v>29.472000000000001</v>
      </c>
    </row>
    <row r="37" spans="1:2" x14ac:dyDescent="0.25">
      <c r="A37" t="s">
        <v>24</v>
      </c>
      <c r="B37">
        <v>1097.5440000000003</v>
      </c>
    </row>
    <row r="38" spans="1:2" x14ac:dyDescent="0.25">
      <c r="A38" t="s">
        <v>24</v>
      </c>
      <c r="B38">
        <v>190.92</v>
      </c>
    </row>
    <row r="39" spans="1:2" x14ac:dyDescent="0.25">
      <c r="A39" t="s">
        <v>24</v>
      </c>
      <c r="B39">
        <v>113.328</v>
      </c>
    </row>
    <row r="40" spans="1:2" x14ac:dyDescent="0.25">
      <c r="A40" t="s">
        <v>24</v>
      </c>
      <c r="B40">
        <v>532.39919999999995</v>
      </c>
    </row>
    <row r="41" spans="1:2" x14ac:dyDescent="0.25">
      <c r="A41" t="s">
        <v>24</v>
      </c>
      <c r="B41">
        <v>212.05799999999999</v>
      </c>
    </row>
    <row r="42" spans="1:2" x14ac:dyDescent="0.25">
      <c r="A42" t="s">
        <v>24</v>
      </c>
      <c r="B42">
        <v>371.16800000000001</v>
      </c>
    </row>
    <row r="43" spans="1:2" x14ac:dyDescent="0.25">
      <c r="A43" t="s">
        <v>31</v>
      </c>
      <c r="B43">
        <v>147.16800000000001</v>
      </c>
    </row>
    <row r="44" spans="1:2" x14ac:dyDescent="0.25">
      <c r="A44" t="s">
        <v>16</v>
      </c>
      <c r="B44">
        <v>77.88</v>
      </c>
    </row>
    <row r="45" spans="1:2" x14ac:dyDescent="0.25">
      <c r="A45" t="s">
        <v>19</v>
      </c>
      <c r="B45">
        <v>95.616</v>
      </c>
    </row>
    <row r="46" spans="1:2" x14ac:dyDescent="0.25">
      <c r="A46" t="s">
        <v>32</v>
      </c>
      <c r="B46">
        <v>45.98</v>
      </c>
    </row>
    <row r="47" spans="1:2" x14ac:dyDescent="0.25">
      <c r="A47" t="s">
        <v>32</v>
      </c>
      <c r="B47">
        <v>17.46</v>
      </c>
    </row>
    <row r="48" spans="1:2" x14ac:dyDescent="0.25">
      <c r="A48" t="s">
        <v>33</v>
      </c>
      <c r="B48">
        <v>211.96</v>
      </c>
    </row>
    <row r="49" spans="1:2" x14ac:dyDescent="0.25">
      <c r="A49" t="s">
        <v>34</v>
      </c>
      <c r="B49">
        <v>45</v>
      </c>
    </row>
    <row r="50" spans="1:2" x14ac:dyDescent="0.25">
      <c r="A50" t="s">
        <v>34</v>
      </c>
      <c r="B50">
        <v>21.8</v>
      </c>
    </row>
    <row r="51" spans="1:2" x14ac:dyDescent="0.25">
      <c r="A51" t="s">
        <v>35</v>
      </c>
      <c r="B51">
        <v>38.22</v>
      </c>
    </row>
    <row r="52" spans="1:2" x14ac:dyDescent="0.25">
      <c r="A52" t="s">
        <v>35</v>
      </c>
      <c r="B52">
        <v>75.179999999999993</v>
      </c>
    </row>
    <row r="53" spans="1:2" x14ac:dyDescent="0.25">
      <c r="A53" t="s">
        <v>35</v>
      </c>
      <c r="B53">
        <v>6.16</v>
      </c>
    </row>
    <row r="54" spans="1:2" x14ac:dyDescent="0.25">
      <c r="A54" t="s">
        <v>35</v>
      </c>
      <c r="B54">
        <v>89.99</v>
      </c>
    </row>
    <row r="55" spans="1:2" x14ac:dyDescent="0.25">
      <c r="A55" t="s">
        <v>36</v>
      </c>
      <c r="B55">
        <v>15.260000000000002</v>
      </c>
    </row>
    <row r="56" spans="1:2" x14ac:dyDescent="0.25">
      <c r="A56" t="s">
        <v>36</v>
      </c>
      <c r="B56">
        <v>1029.95</v>
      </c>
    </row>
    <row r="57" spans="1:2" x14ac:dyDescent="0.25">
      <c r="A57" t="s">
        <v>36</v>
      </c>
      <c r="B57">
        <v>208.56</v>
      </c>
    </row>
    <row r="58" spans="1:2" x14ac:dyDescent="0.25">
      <c r="A58" t="s">
        <v>36</v>
      </c>
      <c r="B58">
        <v>32.400000000000006</v>
      </c>
    </row>
    <row r="59" spans="1:2" x14ac:dyDescent="0.25">
      <c r="A59" t="s">
        <v>36</v>
      </c>
      <c r="B59">
        <v>319.41000000000003</v>
      </c>
    </row>
    <row r="60" spans="1:2" x14ac:dyDescent="0.25">
      <c r="A60" t="s">
        <v>36</v>
      </c>
      <c r="B60">
        <v>14.56</v>
      </c>
    </row>
    <row r="61" spans="1:2" x14ac:dyDescent="0.25">
      <c r="A61" t="s">
        <v>36</v>
      </c>
      <c r="B61">
        <v>30</v>
      </c>
    </row>
    <row r="62" spans="1:2" x14ac:dyDescent="0.25">
      <c r="A62" t="s">
        <v>36</v>
      </c>
      <c r="B62">
        <v>48.480000000000004</v>
      </c>
    </row>
    <row r="63" spans="1:2" x14ac:dyDescent="0.25">
      <c r="A63" t="s">
        <v>36</v>
      </c>
      <c r="B63">
        <v>1.68</v>
      </c>
    </row>
    <row r="64" spans="1:2" x14ac:dyDescent="0.25">
      <c r="A64" t="s">
        <v>16</v>
      </c>
      <c r="B64">
        <v>13.98</v>
      </c>
    </row>
    <row r="65" spans="1:2" x14ac:dyDescent="0.25">
      <c r="A65" t="s">
        <v>16</v>
      </c>
      <c r="B65">
        <v>25.824000000000002</v>
      </c>
    </row>
    <row r="66" spans="1:2" x14ac:dyDescent="0.25">
      <c r="A66" t="s">
        <v>16</v>
      </c>
      <c r="B66">
        <v>146.72999999999999</v>
      </c>
    </row>
    <row r="67" spans="1:2" x14ac:dyDescent="0.25">
      <c r="A67" t="s">
        <v>16</v>
      </c>
      <c r="B67">
        <v>79.760000000000005</v>
      </c>
    </row>
    <row r="68" spans="1:2" x14ac:dyDescent="0.25">
      <c r="A68" t="s">
        <v>31</v>
      </c>
      <c r="B68">
        <v>213.11499999999998</v>
      </c>
    </row>
    <row r="69" spans="1:2" x14ac:dyDescent="0.25">
      <c r="A69" t="s">
        <v>37</v>
      </c>
      <c r="B69">
        <v>1113.0240000000001</v>
      </c>
    </row>
    <row r="70" spans="1:2" x14ac:dyDescent="0.25">
      <c r="A70" t="s">
        <v>37</v>
      </c>
      <c r="B70">
        <v>167.96800000000002</v>
      </c>
    </row>
    <row r="71" spans="1:2" x14ac:dyDescent="0.25">
      <c r="A71" t="s">
        <v>38</v>
      </c>
      <c r="B71">
        <v>75.88</v>
      </c>
    </row>
    <row r="72" spans="1:2" x14ac:dyDescent="0.25">
      <c r="A72" t="s">
        <v>36</v>
      </c>
      <c r="B72">
        <v>4.6159999999999997</v>
      </c>
    </row>
    <row r="73" spans="1:2" x14ac:dyDescent="0.25">
      <c r="A73" t="s">
        <v>33</v>
      </c>
      <c r="B73">
        <v>19.049999999999997</v>
      </c>
    </row>
    <row r="74" spans="1:2" x14ac:dyDescent="0.25">
      <c r="A74" t="s">
        <v>39</v>
      </c>
      <c r="B74">
        <v>831.93600000000015</v>
      </c>
    </row>
    <row r="75" spans="1:2" x14ac:dyDescent="0.25">
      <c r="A75" t="s">
        <v>39</v>
      </c>
      <c r="B75">
        <v>97.04</v>
      </c>
    </row>
    <row r="76" spans="1:2" x14ac:dyDescent="0.25">
      <c r="A76" t="s">
        <v>39</v>
      </c>
      <c r="B76">
        <v>72.784000000000006</v>
      </c>
    </row>
    <row r="77" spans="1:2" x14ac:dyDescent="0.25">
      <c r="A77" t="s">
        <v>24</v>
      </c>
      <c r="B77">
        <v>1.2479999999999998</v>
      </c>
    </row>
    <row r="78" spans="1:2" x14ac:dyDescent="0.25">
      <c r="A78" t="s">
        <v>24</v>
      </c>
      <c r="B78">
        <v>9.7080000000000002</v>
      </c>
    </row>
    <row r="79" spans="1:2" x14ac:dyDescent="0.25">
      <c r="A79" t="s">
        <v>24</v>
      </c>
      <c r="B79">
        <v>27.240000000000002</v>
      </c>
    </row>
    <row r="80" spans="1:2" x14ac:dyDescent="0.25">
      <c r="A80" t="s">
        <v>24</v>
      </c>
      <c r="B80">
        <v>19.3</v>
      </c>
    </row>
    <row r="81" spans="1:2" x14ac:dyDescent="0.25">
      <c r="A81" t="s">
        <v>40</v>
      </c>
      <c r="B81">
        <v>208.16</v>
      </c>
    </row>
    <row r="82" spans="1:2" x14ac:dyDescent="0.25">
      <c r="A82" t="s">
        <v>40</v>
      </c>
      <c r="B82">
        <v>16.740000000000002</v>
      </c>
    </row>
    <row r="83" spans="1:2" x14ac:dyDescent="0.25">
      <c r="A83" t="s">
        <v>16</v>
      </c>
      <c r="B83">
        <v>14.9</v>
      </c>
    </row>
    <row r="84" spans="1:2" x14ac:dyDescent="0.25">
      <c r="A84" t="s">
        <v>16</v>
      </c>
      <c r="B84">
        <v>21.39</v>
      </c>
    </row>
    <row r="85" spans="1:2" x14ac:dyDescent="0.25">
      <c r="A85" t="s">
        <v>21</v>
      </c>
      <c r="B85">
        <v>200.98400000000004</v>
      </c>
    </row>
    <row r="86" spans="1:2" x14ac:dyDescent="0.25">
      <c r="A86" t="s">
        <v>31</v>
      </c>
      <c r="B86">
        <v>230.376</v>
      </c>
    </row>
    <row r="87" spans="1:2" x14ac:dyDescent="0.25">
      <c r="A87" t="s">
        <v>41</v>
      </c>
      <c r="B87">
        <v>301.95999999999998</v>
      </c>
    </row>
    <row r="88" spans="1:2" x14ac:dyDescent="0.25">
      <c r="A88" t="s">
        <v>32</v>
      </c>
      <c r="B88">
        <v>19.989999999999998</v>
      </c>
    </row>
    <row r="89" spans="1:2" x14ac:dyDescent="0.25">
      <c r="A89" t="s">
        <v>32</v>
      </c>
      <c r="B89">
        <v>6.16</v>
      </c>
    </row>
    <row r="90" spans="1:2" x14ac:dyDescent="0.25">
      <c r="A90" t="s">
        <v>24</v>
      </c>
      <c r="B90">
        <v>158.36800000000002</v>
      </c>
    </row>
    <row r="91" spans="1:2" x14ac:dyDescent="0.25">
      <c r="A91" t="s">
        <v>16</v>
      </c>
      <c r="B91">
        <v>20.100000000000001</v>
      </c>
    </row>
    <row r="92" spans="1:2" x14ac:dyDescent="0.25">
      <c r="A92" t="s">
        <v>16</v>
      </c>
      <c r="B92">
        <v>73.584000000000003</v>
      </c>
    </row>
    <row r="93" spans="1:2" x14ac:dyDescent="0.25">
      <c r="A93" t="s">
        <v>16</v>
      </c>
      <c r="B93">
        <v>6.48</v>
      </c>
    </row>
    <row r="94" spans="1:2" x14ac:dyDescent="0.25">
      <c r="A94" t="s">
        <v>32</v>
      </c>
      <c r="B94">
        <v>12.96</v>
      </c>
    </row>
    <row r="95" spans="1:2" x14ac:dyDescent="0.25">
      <c r="A95" t="s">
        <v>32</v>
      </c>
      <c r="B95">
        <v>53.34</v>
      </c>
    </row>
    <row r="96" spans="1:2" x14ac:dyDescent="0.25">
      <c r="A96" t="s">
        <v>32</v>
      </c>
      <c r="B96">
        <v>32.96</v>
      </c>
    </row>
    <row r="97" spans="1:2" x14ac:dyDescent="0.25">
      <c r="A97" t="s">
        <v>42</v>
      </c>
      <c r="B97">
        <v>5.6820000000000013</v>
      </c>
    </row>
    <row r="98" spans="1:2" x14ac:dyDescent="0.25">
      <c r="A98" t="s">
        <v>36</v>
      </c>
      <c r="B98">
        <v>96.53</v>
      </c>
    </row>
    <row r="99" spans="1:2" x14ac:dyDescent="0.25">
      <c r="A99" t="s">
        <v>16</v>
      </c>
      <c r="B99">
        <v>51.311999999999998</v>
      </c>
    </row>
    <row r="100" spans="1:2" x14ac:dyDescent="0.25">
      <c r="A100" t="s">
        <v>32</v>
      </c>
      <c r="B100">
        <v>77.88</v>
      </c>
    </row>
  </sheetData>
  <pageMargins left="0.7" right="0.7" top="0.75" bottom="0.75" header="0.3" footer="0.3"/>
  <drawing r:id="rId1"/>
  <extLst>
    <ext xmlns:x15="http://schemas.microsoft.com/office/spreadsheetml/2010/11/main" uri="{F7C9EE02-42E1-4005-9D12-6889AFFD525C}">
      <x15:webExtensions xmlns:xm="http://schemas.microsoft.com/office/excel/2006/main">
        <x15:webExtension appRef="{964A9100-146A-405F-B40E-91278530B441}">
          <xm:f>Sheet5!$A$1:$B$100</xm:f>
        </x15:webExtension>
      </x15:webExtens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C11FC-A920-4322-8781-F79D9BA52A87}">
  <dimension ref="A1:K100"/>
  <sheetViews>
    <sheetView workbookViewId="0">
      <selection activeCell="M32" sqref="M32"/>
    </sheetView>
  </sheetViews>
  <sheetFormatPr defaultRowHeight="15" x14ac:dyDescent="0.25"/>
  <cols>
    <col min="1" max="1" width="5" bestFit="1" customWidth="1"/>
    <col min="2" max="2" width="10.42578125" bestFit="1" customWidth="1"/>
    <col min="3" max="3" width="9.28515625" bestFit="1" customWidth="1"/>
    <col min="4" max="4" width="11.7109375" bestFit="1" customWidth="1"/>
    <col min="5" max="5" width="14.140625" bestFit="1" customWidth="1"/>
    <col min="6" max="6" width="7.28515625" bestFit="1" customWidth="1"/>
    <col min="7" max="7" width="14.28515625" bestFit="1" customWidth="1"/>
    <col min="8" max="8" width="9" bestFit="1" customWidth="1"/>
    <col min="9" max="9" width="8.42578125" bestFit="1" customWidth="1"/>
    <col min="10" max="10" width="8.85546875" bestFit="1" customWidth="1"/>
    <col min="11" max="11" width="10.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f>YEAR([1]Data!$D2)</f>
        <v>2013</v>
      </c>
      <c r="B2">
        <v>41587</v>
      </c>
      <c r="C2">
        <v>41590</v>
      </c>
      <c r="D2" t="s">
        <v>11</v>
      </c>
      <c r="E2" t="s">
        <v>12</v>
      </c>
      <c r="F2" t="s">
        <v>13</v>
      </c>
      <c r="G2" t="s">
        <v>14</v>
      </c>
      <c r="H2">
        <v>261.95999999999998</v>
      </c>
      <c r="I2">
        <v>2</v>
      </c>
      <c r="J2">
        <v>0</v>
      </c>
      <c r="K2">
        <v>41.913600000000002</v>
      </c>
    </row>
    <row r="3" spans="1:11" x14ac:dyDescent="0.25">
      <c r="A3">
        <f>YEAR([1]Data!$D3)</f>
        <v>2013</v>
      </c>
      <c r="B3">
        <v>41587</v>
      </c>
      <c r="C3">
        <v>41590</v>
      </c>
      <c r="D3" t="s">
        <v>11</v>
      </c>
      <c r="E3" t="s">
        <v>12</v>
      </c>
      <c r="F3" t="s">
        <v>13</v>
      </c>
      <c r="G3" t="s">
        <v>14</v>
      </c>
      <c r="H3">
        <v>731.93999999999994</v>
      </c>
      <c r="I3">
        <v>3</v>
      </c>
      <c r="J3">
        <v>0</v>
      </c>
      <c r="K3">
        <v>219.58199999999997</v>
      </c>
    </row>
    <row r="4" spans="1:11" x14ac:dyDescent="0.25">
      <c r="A4">
        <f>YEAR([1]Data!$D4)</f>
        <v>2013</v>
      </c>
      <c r="B4">
        <v>41438</v>
      </c>
      <c r="C4">
        <v>41442</v>
      </c>
      <c r="D4" t="s">
        <v>15</v>
      </c>
      <c r="E4" t="s">
        <v>16</v>
      </c>
      <c r="F4" t="s">
        <v>17</v>
      </c>
      <c r="G4" t="s">
        <v>18</v>
      </c>
      <c r="H4">
        <v>14.62</v>
      </c>
      <c r="I4">
        <v>2</v>
      </c>
      <c r="J4">
        <v>0</v>
      </c>
      <c r="K4">
        <v>6.8713999999999995</v>
      </c>
    </row>
    <row r="5" spans="1:11" x14ac:dyDescent="0.25">
      <c r="A5">
        <f>YEAR([1]Data!$D5)</f>
        <v>2012</v>
      </c>
      <c r="B5">
        <v>41193</v>
      </c>
      <c r="C5">
        <v>41200</v>
      </c>
      <c r="D5" t="s">
        <v>11</v>
      </c>
      <c r="E5" t="s">
        <v>19</v>
      </c>
      <c r="F5" t="s">
        <v>13</v>
      </c>
      <c r="G5" t="s">
        <v>14</v>
      </c>
      <c r="H5">
        <v>957.57749999999999</v>
      </c>
      <c r="I5">
        <v>5</v>
      </c>
      <c r="J5">
        <v>0.45</v>
      </c>
      <c r="K5">
        <v>-383.03100000000006</v>
      </c>
    </row>
    <row r="6" spans="1:11" x14ac:dyDescent="0.25">
      <c r="A6">
        <f>YEAR([1]Data!$D6)</f>
        <v>2012</v>
      </c>
      <c r="B6">
        <v>41193</v>
      </c>
      <c r="C6">
        <v>41200</v>
      </c>
      <c r="D6" t="s">
        <v>11</v>
      </c>
      <c r="E6" t="s">
        <v>19</v>
      </c>
      <c r="F6" t="s">
        <v>13</v>
      </c>
      <c r="G6" t="s">
        <v>18</v>
      </c>
      <c r="H6">
        <v>22.368000000000002</v>
      </c>
      <c r="I6">
        <v>2</v>
      </c>
      <c r="J6">
        <v>0.2</v>
      </c>
      <c r="K6">
        <v>2.5163999999999991</v>
      </c>
    </row>
    <row r="7" spans="1:11" x14ac:dyDescent="0.25">
      <c r="A7">
        <f>YEAR([1]Data!$D7)</f>
        <v>2011</v>
      </c>
      <c r="B7">
        <v>40703</v>
      </c>
      <c r="C7">
        <v>40708</v>
      </c>
      <c r="D7" t="s">
        <v>11</v>
      </c>
      <c r="E7" t="s">
        <v>16</v>
      </c>
      <c r="F7" t="s">
        <v>17</v>
      </c>
      <c r="G7" t="s">
        <v>14</v>
      </c>
      <c r="H7">
        <v>48.86</v>
      </c>
      <c r="I7">
        <v>7</v>
      </c>
      <c r="J7">
        <v>0</v>
      </c>
      <c r="K7">
        <v>14.169399999999996</v>
      </c>
    </row>
    <row r="8" spans="1:11" x14ac:dyDescent="0.25">
      <c r="A8">
        <f>YEAR([1]Data!$D8)</f>
        <v>2011</v>
      </c>
      <c r="B8">
        <v>40703</v>
      </c>
      <c r="C8">
        <v>40708</v>
      </c>
      <c r="D8" t="s">
        <v>11</v>
      </c>
      <c r="E8" t="s">
        <v>16</v>
      </c>
      <c r="F8" t="s">
        <v>17</v>
      </c>
      <c r="G8" t="s">
        <v>18</v>
      </c>
      <c r="H8">
        <v>7.28</v>
      </c>
      <c r="I8">
        <v>4</v>
      </c>
      <c r="J8">
        <v>0</v>
      </c>
      <c r="K8">
        <v>1.9656000000000002</v>
      </c>
    </row>
    <row r="9" spans="1:11" x14ac:dyDescent="0.25">
      <c r="A9">
        <f>YEAR([1]Data!$D9)</f>
        <v>2011</v>
      </c>
      <c r="B9">
        <v>40703</v>
      </c>
      <c r="C9">
        <v>40708</v>
      </c>
      <c r="D9" t="s">
        <v>11</v>
      </c>
      <c r="E9" t="s">
        <v>16</v>
      </c>
      <c r="F9" t="s">
        <v>17</v>
      </c>
      <c r="G9" t="s">
        <v>20</v>
      </c>
      <c r="H9">
        <v>907.15200000000004</v>
      </c>
      <c r="I9">
        <v>6</v>
      </c>
      <c r="J9">
        <v>0.2</v>
      </c>
      <c r="K9">
        <v>90.715200000000038</v>
      </c>
    </row>
    <row r="10" spans="1:11" x14ac:dyDescent="0.25">
      <c r="A10">
        <f>YEAR([1]Data!$D10)</f>
        <v>2011</v>
      </c>
      <c r="B10">
        <v>40703</v>
      </c>
      <c r="C10">
        <v>40708</v>
      </c>
      <c r="D10" t="s">
        <v>11</v>
      </c>
      <c r="E10" t="s">
        <v>16</v>
      </c>
      <c r="F10" t="s">
        <v>17</v>
      </c>
      <c r="G10" t="s">
        <v>18</v>
      </c>
      <c r="H10">
        <v>18.504000000000001</v>
      </c>
      <c r="I10">
        <v>3</v>
      </c>
      <c r="J10">
        <v>0.2</v>
      </c>
      <c r="K10">
        <v>5.7824999999999998</v>
      </c>
    </row>
    <row r="11" spans="1:11" x14ac:dyDescent="0.25">
      <c r="A11">
        <f>YEAR([1]Data!$D11)</f>
        <v>2011</v>
      </c>
      <c r="B11">
        <v>40703</v>
      </c>
      <c r="C11">
        <v>40708</v>
      </c>
      <c r="D11" t="s">
        <v>11</v>
      </c>
      <c r="E11" t="s">
        <v>16</v>
      </c>
      <c r="F11" t="s">
        <v>17</v>
      </c>
      <c r="G11" t="s">
        <v>18</v>
      </c>
      <c r="H11">
        <v>114.9</v>
      </c>
      <c r="I11">
        <v>5</v>
      </c>
      <c r="J11">
        <v>0</v>
      </c>
      <c r="K11">
        <v>34.469999999999992</v>
      </c>
    </row>
    <row r="12" spans="1:11" x14ac:dyDescent="0.25">
      <c r="A12">
        <f>YEAR([1]Data!$D12)</f>
        <v>2011</v>
      </c>
      <c r="B12">
        <v>40703</v>
      </c>
      <c r="C12">
        <v>40708</v>
      </c>
      <c r="D12" t="s">
        <v>11</v>
      </c>
      <c r="E12" t="s">
        <v>16</v>
      </c>
      <c r="F12" t="s">
        <v>17</v>
      </c>
      <c r="G12" t="s">
        <v>14</v>
      </c>
      <c r="H12">
        <v>1706.1840000000002</v>
      </c>
      <c r="I12">
        <v>9</v>
      </c>
      <c r="J12">
        <v>0.2</v>
      </c>
      <c r="K12">
        <v>85.309199999999805</v>
      </c>
    </row>
    <row r="13" spans="1:11" x14ac:dyDescent="0.25">
      <c r="A13">
        <f>YEAR([1]Data!$D13)</f>
        <v>2011</v>
      </c>
      <c r="B13">
        <v>40703</v>
      </c>
      <c r="C13">
        <v>40708</v>
      </c>
      <c r="D13" t="s">
        <v>11</v>
      </c>
      <c r="E13" t="s">
        <v>16</v>
      </c>
      <c r="F13" t="s">
        <v>17</v>
      </c>
      <c r="G13" t="s">
        <v>20</v>
      </c>
      <c r="H13">
        <v>911.42399999999998</v>
      </c>
      <c r="I13">
        <v>4</v>
      </c>
      <c r="J13">
        <v>0.2</v>
      </c>
      <c r="K13">
        <v>68.356800000000021</v>
      </c>
    </row>
    <row r="14" spans="1:11" x14ac:dyDescent="0.25">
      <c r="A14">
        <f>YEAR([1]Data!$D14)</f>
        <v>2014</v>
      </c>
      <c r="B14">
        <v>41745</v>
      </c>
      <c r="C14">
        <v>41750</v>
      </c>
      <c r="D14" t="s">
        <v>11</v>
      </c>
      <c r="E14" t="s">
        <v>21</v>
      </c>
      <c r="F14" t="s">
        <v>13</v>
      </c>
      <c r="G14" t="s">
        <v>18</v>
      </c>
      <c r="H14">
        <v>15.552000000000003</v>
      </c>
      <c r="I14">
        <v>3</v>
      </c>
      <c r="J14">
        <v>0.2</v>
      </c>
      <c r="K14">
        <v>5.4432</v>
      </c>
    </row>
    <row r="15" spans="1:11" x14ac:dyDescent="0.25">
      <c r="A15">
        <f>YEAR([1]Data!$D15)</f>
        <v>2013</v>
      </c>
      <c r="B15">
        <v>41614</v>
      </c>
      <c r="C15">
        <v>41619</v>
      </c>
      <c r="D15" t="s">
        <v>11</v>
      </c>
      <c r="E15" t="s">
        <v>22</v>
      </c>
      <c r="F15" t="s">
        <v>17</v>
      </c>
      <c r="G15" t="s">
        <v>18</v>
      </c>
      <c r="H15">
        <v>407.97600000000006</v>
      </c>
      <c r="I15">
        <v>3</v>
      </c>
      <c r="J15">
        <v>0.2</v>
      </c>
      <c r="K15">
        <v>132.59219999999993</v>
      </c>
    </row>
    <row r="16" spans="1:11" x14ac:dyDescent="0.25">
      <c r="A16">
        <f>YEAR([1]Data!$D16)</f>
        <v>2012</v>
      </c>
      <c r="B16">
        <v>41235</v>
      </c>
      <c r="C16">
        <v>41239</v>
      </c>
      <c r="D16" t="s">
        <v>23</v>
      </c>
      <c r="E16" t="s">
        <v>24</v>
      </c>
      <c r="F16" t="s">
        <v>25</v>
      </c>
      <c r="G16" t="s">
        <v>18</v>
      </c>
      <c r="H16">
        <v>68.809999999999988</v>
      </c>
      <c r="I16">
        <v>5</v>
      </c>
      <c r="J16">
        <v>0.8</v>
      </c>
      <c r="K16">
        <v>-123.858</v>
      </c>
    </row>
    <row r="17" spans="1:11" x14ac:dyDescent="0.25">
      <c r="A17">
        <f>YEAR([1]Data!$D17)</f>
        <v>2012</v>
      </c>
      <c r="B17">
        <v>41235</v>
      </c>
      <c r="C17">
        <v>41239</v>
      </c>
      <c r="D17" t="s">
        <v>23</v>
      </c>
      <c r="E17" t="s">
        <v>24</v>
      </c>
      <c r="F17" t="s">
        <v>25</v>
      </c>
      <c r="G17" t="s">
        <v>18</v>
      </c>
      <c r="H17">
        <v>2.5439999999999996</v>
      </c>
      <c r="I17">
        <v>3</v>
      </c>
      <c r="J17">
        <v>0.8</v>
      </c>
      <c r="K17">
        <v>-3.8160000000000016</v>
      </c>
    </row>
    <row r="18" spans="1:11" x14ac:dyDescent="0.25">
      <c r="A18">
        <f>YEAR([1]Data!$D18)</f>
        <v>2011</v>
      </c>
      <c r="B18">
        <v>40858</v>
      </c>
      <c r="C18">
        <v>40865</v>
      </c>
      <c r="D18" t="s">
        <v>11</v>
      </c>
      <c r="E18" t="s">
        <v>26</v>
      </c>
      <c r="F18" t="s">
        <v>25</v>
      </c>
      <c r="G18" t="s">
        <v>18</v>
      </c>
      <c r="H18">
        <v>665.88</v>
      </c>
      <c r="I18">
        <v>6</v>
      </c>
      <c r="J18">
        <v>0</v>
      </c>
      <c r="K18">
        <v>13.317599999999999</v>
      </c>
    </row>
    <row r="19" spans="1:11" x14ac:dyDescent="0.25">
      <c r="A19">
        <f>YEAR([1]Data!$D19)</f>
        <v>2011</v>
      </c>
      <c r="B19">
        <v>40676</v>
      </c>
      <c r="C19">
        <v>40678</v>
      </c>
      <c r="D19" t="s">
        <v>11</v>
      </c>
      <c r="E19" t="s">
        <v>27</v>
      </c>
      <c r="F19" t="s">
        <v>17</v>
      </c>
      <c r="G19" t="s">
        <v>18</v>
      </c>
      <c r="H19">
        <v>55.5</v>
      </c>
      <c r="I19">
        <v>2</v>
      </c>
      <c r="J19">
        <v>0</v>
      </c>
      <c r="K19">
        <v>9.9899999999999949</v>
      </c>
    </row>
    <row r="20" spans="1:11" x14ac:dyDescent="0.25">
      <c r="A20">
        <f>YEAR([1]Data!$D20)</f>
        <v>2011</v>
      </c>
      <c r="B20">
        <v>40782</v>
      </c>
      <c r="C20">
        <v>40787</v>
      </c>
      <c r="D20" t="s">
        <v>11</v>
      </c>
      <c r="E20" t="s">
        <v>16</v>
      </c>
      <c r="F20" t="s">
        <v>17</v>
      </c>
      <c r="G20" t="s">
        <v>18</v>
      </c>
      <c r="H20">
        <v>8.56</v>
      </c>
      <c r="I20">
        <v>2</v>
      </c>
      <c r="J20">
        <v>0</v>
      </c>
      <c r="K20">
        <v>2.4823999999999993</v>
      </c>
    </row>
    <row r="21" spans="1:11" x14ac:dyDescent="0.25">
      <c r="A21">
        <f>YEAR([1]Data!$D21)</f>
        <v>2011</v>
      </c>
      <c r="B21">
        <v>40782</v>
      </c>
      <c r="C21">
        <v>40787</v>
      </c>
      <c r="D21" t="s">
        <v>11</v>
      </c>
      <c r="E21" t="s">
        <v>16</v>
      </c>
      <c r="F21" t="s">
        <v>17</v>
      </c>
      <c r="G21" t="s">
        <v>20</v>
      </c>
      <c r="H21">
        <v>213.48000000000002</v>
      </c>
      <c r="I21">
        <v>3</v>
      </c>
      <c r="J21">
        <v>0.2</v>
      </c>
      <c r="K21">
        <v>16.010999999999981</v>
      </c>
    </row>
    <row r="22" spans="1:11" x14ac:dyDescent="0.25">
      <c r="A22">
        <f>YEAR([1]Data!$D22)</f>
        <v>2011</v>
      </c>
      <c r="B22">
        <v>40782</v>
      </c>
      <c r="C22">
        <v>40787</v>
      </c>
      <c r="D22" t="s">
        <v>11</v>
      </c>
      <c r="E22" t="s">
        <v>16</v>
      </c>
      <c r="F22" t="s">
        <v>17</v>
      </c>
      <c r="G22" t="s">
        <v>18</v>
      </c>
      <c r="H22">
        <v>22.72</v>
      </c>
      <c r="I22">
        <v>4</v>
      </c>
      <c r="J22">
        <v>0.2</v>
      </c>
      <c r="K22">
        <v>7.3839999999999986</v>
      </c>
    </row>
    <row r="23" spans="1:11" x14ac:dyDescent="0.25">
      <c r="A23">
        <f>YEAR([1]Data!$D23)</f>
        <v>2013</v>
      </c>
      <c r="B23">
        <v>41618</v>
      </c>
      <c r="C23">
        <v>41622</v>
      </c>
      <c r="D23" t="s">
        <v>15</v>
      </c>
      <c r="E23" t="s">
        <v>28</v>
      </c>
      <c r="F23" t="s">
        <v>25</v>
      </c>
      <c r="G23" t="s">
        <v>18</v>
      </c>
      <c r="H23">
        <v>19.459999999999997</v>
      </c>
      <c r="I23">
        <v>7</v>
      </c>
      <c r="J23">
        <v>0</v>
      </c>
      <c r="K23">
        <v>5.0595999999999997</v>
      </c>
    </row>
    <row r="24" spans="1:11" x14ac:dyDescent="0.25">
      <c r="A24">
        <f>YEAR([1]Data!$D24)</f>
        <v>2013</v>
      </c>
      <c r="B24">
        <v>41618</v>
      </c>
      <c r="C24">
        <v>41622</v>
      </c>
      <c r="D24" t="s">
        <v>15</v>
      </c>
      <c r="E24" t="s">
        <v>28</v>
      </c>
      <c r="F24" t="s">
        <v>25</v>
      </c>
      <c r="G24" t="s">
        <v>18</v>
      </c>
      <c r="H24">
        <v>60.339999999999996</v>
      </c>
      <c r="I24">
        <v>7</v>
      </c>
      <c r="J24">
        <v>0</v>
      </c>
      <c r="K24">
        <v>15.688400000000001</v>
      </c>
    </row>
    <row r="25" spans="1:11" x14ac:dyDescent="0.25">
      <c r="A25">
        <f>YEAR([1]Data!$D25)</f>
        <v>2014</v>
      </c>
      <c r="B25">
        <v>41837</v>
      </c>
      <c r="C25">
        <v>41839</v>
      </c>
      <c r="D25" t="s">
        <v>11</v>
      </c>
      <c r="E25" t="s">
        <v>29</v>
      </c>
      <c r="F25" t="s">
        <v>30</v>
      </c>
      <c r="G25" t="s">
        <v>14</v>
      </c>
      <c r="H25">
        <v>71.371999999999986</v>
      </c>
      <c r="I25">
        <v>2</v>
      </c>
      <c r="J25">
        <v>0.3</v>
      </c>
      <c r="K25">
        <v>-1.0196000000000005</v>
      </c>
    </row>
    <row r="26" spans="1:11" x14ac:dyDescent="0.25">
      <c r="A26">
        <f>YEAR([1]Data!$D26)</f>
        <v>2012</v>
      </c>
      <c r="B26">
        <v>41177</v>
      </c>
      <c r="C26">
        <v>41182</v>
      </c>
      <c r="D26" t="s">
        <v>11</v>
      </c>
      <c r="E26" t="s">
        <v>27</v>
      </c>
      <c r="F26" t="s">
        <v>17</v>
      </c>
      <c r="G26" t="s">
        <v>14</v>
      </c>
      <c r="H26">
        <v>1044.6299999999999</v>
      </c>
      <c r="I26">
        <v>3</v>
      </c>
      <c r="J26">
        <v>0</v>
      </c>
      <c r="K26">
        <v>240.26490000000001</v>
      </c>
    </row>
    <row r="27" spans="1:11" x14ac:dyDescent="0.25">
      <c r="A27">
        <f>YEAR([1]Data!$D27)</f>
        <v>2013</v>
      </c>
      <c r="B27">
        <v>41290</v>
      </c>
      <c r="C27">
        <v>41294</v>
      </c>
      <c r="D27" t="s">
        <v>11</v>
      </c>
      <c r="E27" t="s">
        <v>16</v>
      </c>
      <c r="F27" t="s">
        <v>17</v>
      </c>
      <c r="G27" t="s">
        <v>18</v>
      </c>
      <c r="H27">
        <v>11.648000000000001</v>
      </c>
      <c r="I27">
        <v>2</v>
      </c>
      <c r="J27">
        <v>0.2</v>
      </c>
      <c r="K27">
        <v>4.2224000000000004</v>
      </c>
    </row>
    <row r="28" spans="1:11" x14ac:dyDescent="0.25">
      <c r="A28">
        <f>YEAR([1]Data!$D28)</f>
        <v>2013</v>
      </c>
      <c r="B28">
        <v>41290</v>
      </c>
      <c r="C28">
        <v>41294</v>
      </c>
      <c r="D28" t="s">
        <v>11</v>
      </c>
      <c r="E28" t="s">
        <v>16</v>
      </c>
      <c r="F28" t="s">
        <v>17</v>
      </c>
      <c r="G28" t="s">
        <v>20</v>
      </c>
      <c r="H28">
        <v>90.570000000000007</v>
      </c>
      <c r="I28">
        <v>3</v>
      </c>
      <c r="J28">
        <v>0</v>
      </c>
      <c r="K28">
        <v>11.774100000000004</v>
      </c>
    </row>
    <row r="29" spans="1:11" x14ac:dyDescent="0.25">
      <c r="A29">
        <f>YEAR([1]Data!$D29)</f>
        <v>2012</v>
      </c>
      <c r="B29">
        <v>41169</v>
      </c>
      <c r="C29">
        <v>41173</v>
      </c>
      <c r="D29" t="s">
        <v>11</v>
      </c>
      <c r="E29" t="s">
        <v>29</v>
      </c>
      <c r="F29" t="s">
        <v>30</v>
      </c>
      <c r="G29" t="s">
        <v>14</v>
      </c>
      <c r="H29">
        <v>3083.4300000000003</v>
      </c>
      <c r="I29">
        <v>7</v>
      </c>
      <c r="J29">
        <v>0.5</v>
      </c>
      <c r="K29">
        <v>-1665.0522000000001</v>
      </c>
    </row>
    <row r="30" spans="1:11" x14ac:dyDescent="0.25">
      <c r="A30">
        <f>YEAR([1]Data!$D30)</f>
        <v>2012</v>
      </c>
      <c r="B30">
        <v>41169</v>
      </c>
      <c r="C30">
        <v>41173</v>
      </c>
      <c r="D30" t="s">
        <v>11</v>
      </c>
      <c r="E30" t="s">
        <v>29</v>
      </c>
      <c r="F30" t="s">
        <v>30</v>
      </c>
      <c r="G30" t="s">
        <v>18</v>
      </c>
      <c r="H30">
        <v>9.6180000000000021</v>
      </c>
      <c r="I30">
        <v>2</v>
      </c>
      <c r="J30">
        <v>0.7</v>
      </c>
      <c r="K30">
        <v>-7.0532000000000004</v>
      </c>
    </row>
    <row r="31" spans="1:11" x14ac:dyDescent="0.25">
      <c r="A31">
        <f>YEAR([1]Data!$D31)</f>
        <v>2012</v>
      </c>
      <c r="B31">
        <v>41169</v>
      </c>
      <c r="C31">
        <v>41173</v>
      </c>
      <c r="D31" t="s">
        <v>11</v>
      </c>
      <c r="E31" t="s">
        <v>29</v>
      </c>
      <c r="F31" t="s">
        <v>30</v>
      </c>
      <c r="G31" t="s">
        <v>14</v>
      </c>
      <c r="H31">
        <v>124.20000000000002</v>
      </c>
      <c r="I31">
        <v>3</v>
      </c>
      <c r="J31">
        <v>0.2</v>
      </c>
      <c r="K31">
        <v>15.524999999999991</v>
      </c>
    </row>
    <row r="32" spans="1:11" x14ac:dyDescent="0.25">
      <c r="A32">
        <f>YEAR([1]Data!$D32)</f>
        <v>2012</v>
      </c>
      <c r="B32">
        <v>41169</v>
      </c>
      <c r="C32">
        <v>41173</v>
      </c>
      <c r="D32" t="s">
        <v>11</v>
      </c>
      <c r="E32" t="s">
        <v>29</v>
      </c>
      <c r="F32" t="s">
        <v>30</v>
      </c>
      <c r="G32" t="s">
        <v>18</v>
      </c>
      <c r="H32">
        <v>3.2640000000000002</v>
      </c>
      <c r="I32">
        <v>2</v>
      </c>
      <c r="J32">
        <v>0.2</v>
      </c>
      <c r="K32">
        <v>1.1015999999999997</v>
      </c>
    </row>
    <row r="33" spans="1:11" x14ac:dyDescent="0.25">
      <c r="A33">
        <f>YEAR([1]Data!$D33)</f>
        <v>2012</v>
      </c>
      <c r="B33">
        <v>41169</v>
      </c>
      <c r="C33">
        <v>41173</v>
      </c>
      <c r="D33" t="s">
        <v>11</v>
      </c>
      <c r="E33" t="s">
        <v>29</v>
      </c>
      <c r="F33" t="s">
        <v>30</v>
      </c>
      <c r="G33" t="s">
        <v>18</v>
      </c>
      <c r="H33">
        <v>86.304000000000002</v>
      </c>
      <c r="I33">
        <v>6</v>
      </c>
      <c r="J33">
        <v>0.2</v>
      </c>
      <c r="K33">
        <v>9.7091999999999885</v>
      </c>
    </row>
    <row r="34" spans="1:11" x14ac:dyDescent="0.25">
      <c r="A34">
        <f>YEAR([1]Data!$D34)</f>
        <v>2012</v>
      </c>
      <c r="B34">
        <v>41169</v>
      </c>
      <c r="C34">
        <v>41173</v>
      </c>
      <c r="D34" t="s">
        <v>11</v>
      </c>
      <c r="E34" t="s">
        <v>29</v>
      </c>
      <c r="F34" t="s">
        <v>30</v>
      </c>
      <c r="G34" t="s">
        <v>18</v>
      </c>
      <c r="H34">
        <v>6.8580000000000014</v>
      </c>
      <c r="I34">
        <v>6</v>
      </c>
      <c r="J34">
        <v>0.7</v>
      </c>
      <c r="K34">
        <v>-5.7149999999999999</v>
      </c>
    </row>
    <row r="35" spans="1:11" x14ac:dyDescent="0.25">
      <c r="A35">
        <f>YEAR([1]Data!$D35)</f>
        <v>2012</v>
      </c>
      <c r="B35">
        <v>41169</v>
      </c>
      <c r="C35">
        <v>41173</v>
      </c>
      <c r="D35" t="s">
        <v>11</v>
      </c>
      <c r="E35" t="s">
        <v>29</v>
      </c>
      <c r="F35" t="s">
        <v>30</v>
      </c>
      <c r="G35" t="s">
        <v>18</v>
      </c>
      <c r="H35">
        <v>15.76</v>
      </c>
      <c r="I35">
        <v>2</v>
      </c>
      <c r="J35">
        <v>0.2</v>
      </c>
      <c r="K35">
        <v>3.5460000000000007</v>
      </c>
    </row>
    <row r="36" spans="1:11" x14ac:dyDescent="0.25">
      <c r="A36">
        <f>YEAR([1]Data!$D36)</f>
        <v>2014</v>
      </c>
      <c r="B36">
        <v>41932</v>
      </c>
      <c r="C36">
        <v>41936</v>
      </c>
      <c r="D36" t="s">
        <v>23</v>
      </c>
      <c r="E36" t="s">
        <v>24</v>
      </c>
      <c r="F36" t="s">
        <v>25</v>
      </c>
      <c r="G36" t="s">
        <v>18</v>
      </c>
      <c r="H36">
        <v>29.472000000000001</v>
      </c>
      <c r="I36">
        <v>3</v>
      </c>
      <c r="J36">
        <v>0.2</v>
      </c>
      <c r="K36">
        <v>9.9467999999999979</v>
      </c>
    </row>
    <row r="37" spans="1:11" x14ac:dyDescent="0.25">
      <c r="A37">
        <f>YEAR([1]Data!$D37)</f>
        <v>2013</v>
      </c>
      <c r="B37">
        <v>41617</v>
      </c>
      <c r="C37">
        <v>41619</v>
      </c>
      <c r="D37" t="s">
        <v>15</v>
      </c>
      <c r="E37" t="s">
        <v>24</v>
      </c>
      <c r="F37" t="s">
        <v>25</v>
      </c>
      <c r="G37" t="s">
        <v>20</v>
      </c>
      <c r="H37">
        <v>1097.5440000000003</v>
      </c>
      <c r="I37">
        <v>7</v>
      </c>
      <c r="J37">
        <v>0.2</v>
      </c>
      <c r="K37">
        <v>123.47369999999989</v>
      </c>
    </row>
    <row r="38" spans="1:11" x14ac:dyDescent="0.25">
      <c r="A38">
        <f>YEAR([1]Data!$D38)</f>
        <v>2013</v>
      </c>
      <c r="B38">
        <v>41617</v>
      </c>
      <c r="C38">
        <v>41619</v>
      </c>
      <c r="D38" t="s">
        <v>15</v>
      </c>
      <c r="E38" t="s">
        <v>24</v>
      </c>
      <c r="F38" t="s">
        <v>25</v>
      </c>
      <c r="G38" t="s">
        <v>14</v>
      </c>
      <c r="H38">
        <v>190.92</v>
      </c>
      <c r="I38">
        <v>5</v>
      </c>
      <c r="J38">
        <v>0.6</v>
      </c>
      <c r="K38">
        <v>-147.96300000000002</v>
      </c>
    </row>
    <row r="39" spans="1:11" x14ac:dyDescent="0.25">
      <c r="A39">
        <f>YEAR([1]Data!$D39)</f>
        <v>2012</v>
      </c>
      <c r="B39">
        <v>41270</v>
      </c>
      <c r="C39">
        <v>41274</v>
      </c>
      <c r="D39" t="s">
        <v>23</v>
      </c>
      <c r="E39" t="s">
        <v>24</v>
      </c>
      <c r="F39" t="s">
        <v>25</v>
      </c>
      <c r="G39" t="s">
        <v>18</v>
      </c>
      <c r="H39">
        <v>113.328</v>
      </c>
      <c r="I39">
        <v>9</v>
      </c>
      <c r="J39">
        <v>0.2</v>
      </c>
      <c r="K39">
        <v>35.414999999999999</v>
      </c>
    </row>
    <row r="40" spans="1:11" x14ac:dyDescent="0.25">
      <c r="A40">
        <f>YEAR([1]Data!$D40)</f>
        <v>2012</v>
      </c>
      <c r="B40">
        <v>41270</v>
      </c>
      <c r="C40">
        <v>41274</v>
      </c>
      <c r="D40" t="s">
        <v>23</v>
      </c>
      <c r="E40" t="s">
        <v>24</v>
      </c>
      <c r="F40" t="s">
        <v>25</v>
      </c>
      <c r="G40" t="s">
        <v>14</v>
      </c>
      <c r="H40">
        <v>532.39919999999995</v>
      </c>
      <c r="I40">
        <v>3</v>
      </c>
      <c r="J40">
        <v>0.32</v>
      </c>
      <c r="K40">
        <v>-46.976400000000012</v>
      </c>
    </row>
    <row r="41" spans="1:11" x14ac:dyDescent="0.25">
      <c r="A41">
        <f>YEAR([1]Data!$D41)</f>
        <v>2012</v>
      </c>
      <c r="B41">
        <v>41270</v>
      </c>
      <c r="C41">
        <v>41274</v>
      </c>
      <c r="D41" t="s">
        <v>23</v>
      </c>
      <c r="E41" t="s">
        <v>24</v>
      </c>
      <c r="F41" t="s">
        <v>25</v>
      </c>
      <c r="G41" t="s">
        <v>14</v>
      </c>
      <c r="H41">
        <v>212.05799999999999</v>
      </c>
      <c r="I41">
        <v>3</v>
      </c>
      <c r="J41">
        <v>0.3</v>
      </c>
      <c r="K41">
        <v>-15.146999999999991</v>
      </c>
    </row>
    <row r="42" spans="1:11" x14ac:dyDescent="0.25">
      <c r="A42">
        <f>YEAR([1]Data!$D42)</f>
        <v>2012</v>
      </c>
      <c r="B42">
        <v>41270</v>
      </c>
      <c r="C42">
        <v>41274</v>
      </c>
      <c r="D42" t="s">
        <v>23</v>
      </c>
      <c r="E42" t="s">
        <v>24</v>
      </c>
      <c r="F42" t="s">
        <v>25</v>
      </c>
      <c r="G42" t="s">
        <v>20</v>
      </c>
      <c r="H42">
        <v>371.16800000000001</v>
      </c>
      <c r="I42">
        <v>4</v>
      </c>
      <c r="J42">
        <v>0.2</v>
      </c>
      <c r="K42">
        <v>41.756399999999957</v>
      </c>
    </row>
    <row r="43" spans="1:11" x14ac:dyDescent="0.25">
      <c r="A43">
        <f>YEAR([1]Data!$D43)</f>
        <v>2014</v>
      </c>
      <c r="B43">
        <v>41893</v>
      </c>
      <c r="C43">
        <v>41898</v>
      </c>
      <c r="D43" t="s">
        <v>15</v>
      </c>
      <c r="E43" t="s">
        <v>31</v>
      </c>
      <c r="F43" t="s">
        <v>25</v>
      </c>
      <c r="G43" t="s">
        <v>20</v>
      </c>
      <c r="H43">
        <v>147.16800000000001</v>
      </c>
      <c r="I43">
        <v>4</v>
      </c>
      <c r="J43">
        <v>0.2</v>
      </c>
      <c r="K43">
        <v>16.556399999999996</v>
      </c>
    </row>
    <row r="44" spans="1:11" x14ac:dyDescent="0.25">
      <c r="A44">
        <f>YEAR([1]Data!$D44)</f>
        <v>2013</v>
      </c>
      <c r="B44">
        <v>41473</v>
      </c>
      <c r="C44">
        <v>41478</v>
      </c>
      <c r="D44" t="s">
        <v>15</v>
      </c>
      <c r="E44" t="s">
        <v>16</v>
      </c>
      <c r="F44" t="s">
        <v>17</v>
      </c>
      <c r="G44" t="s">
        <v>18</v>
      </c>
      <c r="H44">
        <v>77.88</v>
      </c>
      <c r="I44">
        <v>2</v>
      </c>
      <c r="J44">
        <v>0</v>
      </c>
      <c r="K44">
        <v>3.8939999999999912</v>
      </c>
    </row>
    <row r="45" spans="1:11" x14ac:dyDescent="0.25">
      <c r="A45">
        <f>YEAR([1]Data!$D45)</f>
        <v>2014</v>
      </c>
      <c r="B45">
        <v>41902</v>
      </c>
      <c r="C45">
        <v>41906</v>
      </c>
      <c r="D45" t="s">
        <v>15</v>
      </c>
      <c r="E45" t="s">
        <v>19</v>
      </c>
      <c r="F45" t="s">
        <v>13</v>
      </c>
      <c r="G45" t="s">
        <v>18</v>
      </c>
      <c r="H45">
        <v>95.616</v>
      </c>
      <c r="I45">
        <v>2</v>
      </c>
      <c r="J45">
        <v>0.2</v>
      </c>
      <c r="K45">
        <v>9.5616000000000092</v>
      </c>
    </row>
    <row r="46" spans="1:11" x14ac:dyDescent="0.25">
      <c r="A46">
        <f>YEAR([1]Data!$D46)</f>
        <v>2013</v>
      </c>
      <c r="B46">
        <v>41345</v>
      </c>
      <c r="C46">
        <v>41347</v>
      </c>
      <c r="D46" t="s">
        <v>15</v>
      </c>
      <c r="E46" t="s">
        <v>32</v>
      </c>
      <c r="F46" t="s">
        <v>25</v>
      </c>
      <c r="G46" t="s">
        <v>20</v>
      </c>
      <c r="H46">
        <v>45.98</v>
      </c>
      <c r="I46">
        <v>2</v>
      </c>
      <c r="J46">
        <v>0</v>
      </c>
      <c r="K46">
        <v>19.7714</v>
      </c>
    </row>
    <row r="47" spans="1:11" x14ac:dyDescent="0.25">
      <c r="A47">
        <f>YEAR([1]Data!$D47)</f>
        <v>2013</v>
      </c>
      <c r="B47">
        <v>41345</v>
      </c>
      <c r="C47">
        <v>41347</v>
      </c>
      <c r="D47" t="s">
        <v>15</v>
      </c>
      <c r="E47" t="s">
        <v>32</v>
      </c>
      <c r="F47" t="s">
        <v>25</v>
      </c>
      <c r="G47" t="s">
        <v>18</v>
      </c>
      <c r="H47">
        <v>17.46</v>
      </c>
      <c r="I47">
        <v>2</v>
      </c>
      <c r="J47">
        <v>0</v>
      </c>
      <c r="K47">
        <v>8.2061999999999991</v>
      </c>
    </row>
    <row r="48" spans="1:11" x14ac:dyDescent="0.25">
      <c r="A48">
        <f>YEAR([1]Data!$D48)</f>
        <v>2011</v>
      </c>
      <c r="B48">
        <v>40836</v>
      </c>
      <c r="C48">
        <v>40841</v>
      </c>
      <c r="D48" t="s">
        <v>11</v>
      </c>
      <c r="E48" t="s">
        <v>33</v>
      </c>
      <c r="F48" t="s">
        <v>25</v>
      </c>
      <c r="G48" t="s">
        <v>18</v>
      </c>
      <c r="H48">
        <v>211.96</v>
      </c>
      <c r="I48">
        <v>4</v>
      </c>
      <c r="J48">
        <v>0</v>
      </c>
      <c r="K48">
        <v>8.4783999999999935</v>
      </c>
    </row>
    <row r="49" spans="1:11" x14ac:dyDescent="0.25">
      <c r="A49">
        <f>YEAR([1]Data!$D49)</f>
        <v>2013</v>
      </c>
      <c r="B49">
        <v>41446</v>
      </c>
      <c r="C49">
        <v>41451</v>
      </c>
      <c r="D49" t="s">
        <v>11</v>
      </c>
      <c r="E49" t="s">
        <v>34</v>
      </c>
      <c r="F49" t="s">
        <v>30</v>
      </c>
      <c r="G49" t="s">
        <v>20</v>
      </c>
      <c r="H49">
        <v>45</v>
      </c>
      <c r="I49">
        <v>3</v>
      </c>
      <c r="J49">
        <v>0</v>
      </c>
      <c r="K49">
        <v>4.9500000000000011</v>
      </c>
    </row>
    <row r="50" spans="1:11" x14ac:dyDescent="0.25">
      <c r="A50">
        <f>YEAR([1]Data!$D50)</f>
        <v>2013</v>
      </c>
      <c r="B50">
        <v>41446</v>
      </c>
      <c r="C50">
        <v>41451</v>
      </c>
      <c r="D50" t="s">
        <v>11</v>
      </c>
      <c r="E50" t="s">
        <v>34</v>
      </c>
      <c r="F50" t="s">
        <v>30</v>
      </c>
      <c r="G50" t="s">
        <v>20</v>
      </c>
      <c r="H50">
        <v>21.8</v>
      </c>
      <c r="I50">
        <v>2</v>
      </c>
      <c r="J50">
        <v>0</v>
      </c>
      <c r="K50">
        <v>6.104000000000001</v>
      </c>
    </row>
    <row r="51" spans="1:11" x14ac:dyDescent="0.25">
      <c r="A51">
        <f>YEAR([1]Data!$D51)</f>
        <v>2012</v>
      </c>
      <c r="B51">
        <v>41017</v>
      </c>
      <c r="C51">
        <v>41021</v>
      </c>
      <c r="D51" t="s">
        <v>11</v>
      </c>
      <c r="E51" t="s">
        <v>35</v>
      </c>
      <c r="F51" t="s">
        <v>25</v>
      </c>
      <c r="G51" t="s">
        <v>18</v>
      </c>
      <c r="H51">
        <v>38.22</v>
      </c>
      <c r="I51">
        <v>6</v>
      </c>
      <c r="J51">
        <v>0</v>
      </c>
      <c r="K51">
        <v>17.9634</v>
      </c>
    </row>
    <row r="52" spans="1:11" x14ac:dyDescent="0.25">
      <c r="A52">
        <f>YEAR([1]Data!$D52)</f>
        <v>2012</v>
      </c>
      <c r="B52">
        <v>41017</v>
      </c>
      <c r="C52">
        <v>41021</v>
      </c>
      <c r="D52" t="s">
        <v>11</v>
      </c>
      <c r="E52" t="s">
        <v>35</v>
      </c>
      <c r="F52" t="s">
        <v>25</v>
      </c>
      <c r="G52" t="s">
        <v>18</v>
      </c>
      <c r="H52">
        <v>75.179999999999993</v>
      </c>
      <c r="I52">
        <v>6</v>
      </c>
      <c r="J52">
        <v>0</v>
      </c>
      <c r="K52">
        <v>35.334599999999995</v>
      </c>
    </row>
    <row r="53" spans="1:11" x14ac:dyDescent="0.25">
      <c r="A53">
        <f>YEAR([1]Data!$D53)</f>
        <v>2012</v>
      </c>
      <c r="B53">
        <v>41017</v>
      </c>
      <c r="C53">
        <v>41021</v>
      </c>
      <c r="D53" t="s">
        <v>11</v>
      </c>
      <c r="E53" t="s">
        <v>35</v>
      </c>
      <c r="F53" t="s">
        <v>25</v>
      </c>
      <c r="G53" t="s">
        <v>14</v>
      </c>
      <c r="H53">
        <v>6.16</v>
      </c>
      <c r="I53">
        <v>2</v>
      </c>
      <c r="J53">
        <v>0</v>
      </c>
      <c r="K53">
        <v>2.9567999999999999</v>
      </c>
    </row>
    <row r="54" spans="1:11" x14ac:dyDescent="0.25">
      <c r="A54">
        <f>YEAR([1]Data!$D54)</f>
        <v>2012</v>
      </c>
      <c r="B54">
        <v>41017</v>
      </c>
      <c r="C54">
        <v>41021</v>
      </c>
      <c r="D54" t="s">
        <v>11</v>
      </c>
      <c r="E54" t="s">
        <v>35</v>
      </c>
      <c r="F54" t="s">
        <v>25</v>
      </c>
      <c r="G54" t="s">
        <v>14</v>
      </c>
      <c r="H54">
        <v>89.99</v>
      </c>
      <c r="I54">
        <v>1</v>
      </c>
      <c r="J54">
        <v>0</v>
      </c>
      <c r="K54">
        <v>17.098099999999988</v>
      </c>
    </row>
    <row r="55" spans="1:11" x14ac:dyDescent="0.25">
      <c r="A55">
        <f>YEAR([1]Data!$D55)</f>
        <v>2013</v>
      </c>
      <c r="B55">
        <v>41620</v>
      </c>
      <c r="C55">
        <v>41626</v>
      </c>
      <c r="D55" t="s">
        <v>15</v>
      </c>
      <c r="E55" t="s">
        <v>36</v>
      </c>
      <c r="F55" t="s">
        <v>30</v>
      </c>
      <c r="G55" t="s">
        <v>18</v>
      </c>
      <c r="H55">
        <v>15.260000000000002</v>
      </c>
      <c r="I55">
        <v>7</v>
      </c>
      <c r="J55">
        <v>0</v>
      </c>
      <c r="K55">
        <v>6.2566000000000006</v>
      </c>
    </row>
    <row r="56" spans="1:11" x14ac:dyDescent="0.25">
      <c r="A56">
        <f>YEAR([1]Data!$D56)</f>
        <v>2013</v>
      </c>
      <c r="B56">
        <v>41620</v>
      </c>
      <c r="C56">
        <v>41626</v>
      </c>
      <c r="D56" t="s">
        <v>15</v>
      </c>
      <c r="E56" t="s">
        <v>36</v>
      </c>
      <c r="F56" t="s">
        <v>30</v>
      </c>
      <c r="G56" t="s">
        <v>20</v>
      </c>
      <c r="H56">
        <v>1029.95</v>
      </c>
      <c r="I56">
        <v>5</v>
      </c>
      <c r="J56">
        <v>0</v>
      </c>
      <c r="K56">
        <v>298.68549999999999</v>
      </c>
    </row>
    <row r="57" spans="1:11" x14ac:dyDescent="0.25">
      <c r="A57">
        <f>YEAR([1]Data!$D57)</f>
        <v>2013</v>
      </c>
      <c r="B57">
        <v>41443</v>
      </c>
      <c r="C57">
        <v>41444</v>
      </c>
      <c r="D57" t="s">
        <v>11</v>
      </c>
      <c r="E57" t="s">
        <v>36</v>
      </c>
      <c r="F57" t="s">
        <v>30</v>
      </c>
      <c r="G57" t="s">
        <v>18</v>
      </c>
      <c r="H57">
        <v>208.56</v>
      </c>
      <c r="I57">
        <v>6</v>
      </c>
      <c r="J57">
        <v>0</v>
      </c>
      <c r="K57">
        <v>52.139999999999986</v>
      </c>
    </row>
    <row r="58" spans="1:11" x14ac:dyDescent="0.25">
      <c r="A58">
        <f>YEAR([1]Data!$D58)</f>
        <v>2013</v>
      </c>
      <c r="B58">
        <v>41443</v>
      </c>
      <c r="C58">
        <v>41444</v>
      </c>
      <c r="D58" t="s">
        <v>11</v>
      </c>
      <c r="E58" t="s">
        <v>36</v>
      </c>
      <c r="F58" t="s">
        <v>30</v>
      </c>
      <c r="G58" t="s">
        <v>18</v>
      </c>
      <c r="H58">
        <v>32.400000000000006</v>
      </c>
      <c r="I58">
        <v>5</v>
      </c>
      <c r="J58">
        <v>0</v>
      </c>
      <c r="K58">
        <v>15.552000000000001</v>
      </c>
    </row>
    <row r="59" spans="1:11" x14ac:dyDescent="0.25">
      <c r="A59">
        <f>YEAR([1]Data!$D59)</f>
        <v>2013</v>
      </c>
      <c r="B59">
        <v>41443</v>
      </c>
      <c r="C59">
        <v>41444</v>
      </c>
      <c r="D59" t="s">
        <v>11</v>
      </c>
      <c r="E59" t="s">
        <v>36</v>
      </c>
      <c r="F59" t="s">
        <v>30</v>
      </c>
      <c r="G59" t="s">
        <v>14</v>
      </c>
      <c r="H59">
        <v>319.41000000000003</v>
      </c>
      <c r="I59">
        <v>5</v>
      </c>
      <c r="J59">
        <v>0.1</v>
      </c>
      <c r="K59">
        <v>7.0980000000000061</v>
      </c>
    </row>
    <row r="60" spans="1:11" x14ac:dyDescent="0.25">
      <c r="A60">
        <f>YEAR([1]Data!$D60)</f>
        <v>2013</v>
      </c>
      <c r="B60">
        <v>41443</v>
      </c>
      <c r="C60">
        <v>41444</v>
      </c>
      <c r="D60" t="s">
        <v>11</v>
      </c>
      <c r="E60" t="s">
        <v>36</v>
      </c>
      <c r="F60" t="s">
        <v>30</v>
      </c>
      <c r="G60" t="s">
        <v>18</v>
      </c>
      <c r="H60">
        <v>14.56</v>
      </c>
      <c r="I60">
        <v>2</v>
      </c>
      <c r="J60">
        <v>0</v>
      </c>
      <c r="K60">
        <v>6.9888000000000003</v>
      </c>
    </row>
    <row r="61" spans="1:11" x14ac:dyDescent="0.25">
      <c r="A61">
        <f>YEAR([1]Data!$D61)</f>
        <v>2013</v>
      </c>
      <c r="B61">
        <v>41443</v>
      </c>
      <c r="C61">
        <v>41444</v>
      </c>
      <c r="D61" t="s">
        <v>11</v>
      </c>
      <c r="E61" t="s">
        <v>36</v>
      </c>
      <c r="F61" t="s">
        <v>30</v>
      </c>
      <c r="G61" t="s">
        <v>20</v>
      </c>
      <c r="H61">
        <v>30</v>
      </c>
      <c r="I61">
        <v>2</v>
      </c>
      <c r="J61">
        <v>0</v>
      </c>
      <c r="K61">
        <v>3.3000000000000007</v>
      </c>
    </row>
    <row r="62" spans="1:11" x14ac:dyDescent="0.25">
      <c r="A62">
        <f>YEAR([1]Data!$D62)</f>
        <v>2013</v>
      </c>
      <c r="B62">
        <v>41443</v>
      </c>
      <c r="C62">
        <v>41444</v>
      </c>
      <c r="D62" t="s">
        <v>11</v>
      </c>
      <c r="E62" t="s">
        <v>36</v>
      </c>
      <c r="F62" t="s">
        <v>30</v>
      </c>
      <c r="G62" t="s">
        <v>18</v>
      </c>
      <c r="H62">
        <v>48.480000000000004</v>
      </c>
      <c r="I62">
        <v>4</v>
      </c>
      <c r="J62">
        <v>0.2</v>
      </c>
      <c r="K62">
        <v>16.361999999999998</v>
      </c>
    </row>
    <row r="63" spans="1:11" x14ac:dyDescent="0.25">
      <c r="A63">
        <f>YEAR([1]Data!$D63)</f>
        <v>2013</v>
      </c>
      <c r="B63">
        <v>41443</v>
      </c>
      <c r="C63">
        <v>41444</v>
      </c>
      <c r="D63" t="s">
        <v>11</v>
      </c>
      <c r="E63" t="s">
        <v>36</v>
      </c>
      <c r="F63" t="s">
        <v>30</v>
      </c>
      <c r="G63" t="s">
        <v>18</v>
      </c>
      <c r="H63">
        <v>1.68</v>
      </c>
      <c r="I63">
        <v>1</v>
      </c>
      <c r="J63">
        <v>0</v>
      </c>
      <c r="K63">
        <v>0.84</v>
      </c>
    </row>
    <row r="64" spans="1:11" x14ac:dyDescent="0.25">
      <c r="A64">
        <f>YEAR([1]Data!$D64)</f>
        <v>2012</v>
      </c>
      <c r="B64">
        <v>41237</v>
      </c>
      <c r="C64">
        <v>41243</v>
      </c>
      <c r="D64" t="s">
        <v>11</v>
      </c>
      <c r="E64" t="s">
        <v>16</v>
      </c>
      <c r="F64" t="s">
        <v>17</v>
      </c>
      <c r="G64" t="s">
        <v>20</v>
      </c>
      <c r="H64">
        <v>13.98</v>
      </c>
      <c r="I64">
        <v>2</v>
      </c>
      <c r="J64">
        <v>0</v>
      </c>
      <c r="K64">
        <v>6.1512000000000011</v>
      </c>
    </row>
    <row r="65" spans="1:11" x14ac:dyDescent="0.25">
      <c r="A65">
        <f>YEAR([1]Data!$D65)</f>
        <v>2012</v>
      </c>
      <c r="B65">
        <v>41237</v>
      </c>
      <c r="C65">
        <v>41243</v>
      </c>
      <c r="D65" t="s">
        <v>11</v>
      </c>
      <c r="E65" t="s">
        <v>16</v>
      </c>
      <c r="F65" t="s">
        <v>17</v>
      </c>
      <c r="G65" t="s">
        <v>18</v>
      </c>
      <c r="H65">
        <v>25.824000000000002</v>
      </c>
      <c r="I65">
        <v>6</v>
      </c>
      <c r="J65">
        <v>0.2</v>
      </c>
      <c r="K65">
        <v>9.3612000000000002</v>
      </c>
    </row>
    <row r="66" spans="1:11" x14ac:dyDescent="0.25">
      <c r="A66">
        <f>YEAR([1]Data!$D66)</f>
        <v>2012</v>
      </c>
      <c r="B66">
        <v>41237</v>
      </c>
      <c r="C66">
        <v>41243</v>
      </c>
      <c r="D66" t="s">
        <v>11</v>
      </c>
      <c r="E66" t="s">
        <v>16</v>
      </c>
      <c r="F66" t="s">
        <v>17</v>
      </c>
      <c r="G66" t="s">
        <v>18</v>
      </c>
      <c r="H66">
        <v>146.72999999999999</v>
      </c>
      <c r="I66">
        <v>3</v>
      </c>
      <c r="J66">
        <v>0</v>
      </c>
      <c r="K66">
        <v>68.963099999999997</v>
      </c>
    </row>
    <row r="67" spans="1:11" x14ac:dyDescent="0.25">
      <c r="A67">
        <f>YEAR([1]Data!$D67)</f>
        <v>2012</v>
      </c>
      <c r="B67">
        <v>41237</v>
      </c>
      <c r="C67">
        <v>41243</v>
      </c>
      <c r="D67" t="s">
        <v>11</v>
      </c>
      <c r="E67" t="s">
        <v>16</v>
      </c>
      <c r="F67" t="s">
        <v>17</v>
      </c>
      <c r="G67" t="s">
        <v>14</v>
      </c>
      <c r="H67">
        <v>79.760000000000005</v>
      </c>
      <c r="I67">
        <v>4</v>
      </c>
      <c r="J67">
        <v>0</v>
      </c>
      <c r="K67">
        <v>22.332800000000006</v>
      </c>
    </row>
    <row r="68" spans="1:11" x14ac:dyDescent="0.25">
      <c r="A68">
        <f>YEAR([1]Data!$D68)</f>
        <v>2012</v>
      </c>
      <c r="B68">
        <v>41029</v>
      </c>
      <c r="C68">
        <v>41034</v>
      </c>
      <c r="D68" t="s">
        <v>23</v>
      </c>
      <c r="E68" t="s">
        <v>31</v>
      </c>
      <c r="F68" t="s">
        <v>25</v>
      </c>
      <c r="G68" t="s">
        <v>14</v>
      </c>
      <c r="H68">
        <v>213.11499999999998</v>
      </c>
      <c r="I68">
        <v>5</v>
      </c>
      <c r="J68">
        <v>0.3</v>
      </c>
      <c r="K68">
        <v>-15.222500000000011</v>
      </c>
    </row>
    <row r="69" spans="1:11" x14ac:dyDescent="0.25">
      <c r="A69">
        <f>YEAR([1]Data!$D69)</f>
        <v>2011</v>
      </c>
      <c r="B69">
        <v>40882</v>
      </c>
      <c r="C69">
        <v>40887</v>
      </c>
      <c r="D69" t="s">
        <v>15</v>
      </c>
      <c r="E69" t="s">
        <v>37</v>
      </c>
      <c r="F69" t="s">
        <v>17</v>
      </c>
      <c r="G69" t="s">
        <v>18</v>
      </c>
      <c r="H69">
        <v>1113.0240000000001</v>
      </c>
      <c r="I69">
        <v>8</v>
      </c>
      <c r="J69">
        <v>0.2</v>
      </c>
      <c r="K69">
        <v>111.30239999999998</v>
      </c>
    </row>
    <row r="70" spans="1:11" x14ac:dyDescent="0.25">
      <c r="A70">
        <f>YEAR([1]Data!$D70)</f>
        <v>2011</v>
      </c>
      <c r="B70">
        <v>40882</v>
      </c>
      <c r="C70">
        <v>40887</v>
      </c>
      <c r="D70" t="s">
        <v>15</v>
      </c>
      <c r="E70" t="s">
        <v>37</v>
      </c>
      <c r="F70" t="s">
        <v>17</v>
      </c>
      <c r="G70" t="s">
        <v>20</v>
      </c>
      <c r="H70">
        <v>167.96800000000002</v>
      </c>
      <c r="I70">
        <v>4</v>
      </c>
      <c r="J70">
        <v>0.2</v>
      </c>
      <c r="K70">
        <v>62.988</v>
      </c>
    </row>
    <row r="71" spans="1:11" x14ac:dyDescent="0.25">
      <c r="A71">
        <f>YEAR([1]Data!$D71)</f>
        <v>2013</v>
      </c>
      <c r="B71">
        <v>41430</v>
      </c>
      <c r="C71">
        <v>41432</v>
      </c>
      <c r="D71" t="s">
        <v>11</v>
      </c>
      <c r="E71" t="s">
        <v>38</v>
      </c>
      <c r="F71" t="s">
        <v>13</v>
      </c>
      <c r="G71" t="s">
        <v>18</v>
      </c>
      <c r="H71">
        <v>75.88</v>
      </c>
      <c r="I71">
        <v>2</v>
      </c>
      <c r="J71">
        <v>0</v>
      </c>
      <c r="K71">
        <v>35.663599999999995</v>
      </c>
    </row>
    <row r="72" spans="1:11" x14ac:dyDescent="0.25">
      <c r="A72">
        <f>YEAR([1]Data!$D72)</f>
        <v>2013</v>
      </c>
      <c r="B72">
        <v>41536</v>
      </c>
      <c r="C72">
        <v>41541</v>
      </c>
      <c r="D72" t="s">
        <v>11</v>
      </c>
      <c r="E72" t="s">
        <v>36</v>
      </c>
      <c r="F72" t="s">
        <v>30</v>
      </c>
      <c r="G72" t="s">
        <v>18</v>
      </c>
      <c r="H72">
        <v>4.6159999999999997</v>
      </c>
      <c r="I72">
        <v>1</v>
      </c>
      <c r="J72">
        <v>0.2</v>
      </c>
      <c r="K72">
        <v>1.7309999999999999</v>
      </c>
    </row>
    <row r="73" spans="1:11" x14ac:dyDescent="0.25">
      <c r="A73">
        <f>YEAR([1]Data!$D73)</f>
        <v>2014</v>
      </c>
      <c r="B73">
        <v>41897</v>
      </c>
      <c r="C73">
        <v>41900</v>
      </c>
      <c r="D73" t="s">
        <v>11</v>
      </c>
      <c r="E73" t="s">
        <v>33</v>
      </c>
      <c r="F73" t="s">
        <v>25</v>
      </c>
      <c r="G73" t="s">
        <v>18</v>
      </c>
      <c r="H73">
        <v>19.049999999999997</v>
      </c>
      <c r="I73">
        <v>3</v>
      </c>
      <c r="J73">
        <v>0</v>
      </c>
      <c r="K73">
        <v>8.7629999999999999</v>
      </c>
    </row>
    <row r="74" spans="1:11" x14ac:dyDescent="0.25">
      <c r="A74">
        <f>YEAR([1]Data!$D74)</f>
        <v>2012</v>
      </c>
      <c r="B74">
        <v>41025</v>
      </c>
      <c r="C74">
        <v>41031</v>
      </c>
      <c r="D74" t="s">
        <v>11</v>
      </c>
      <c r="E74" t="s">
        <v>39</v>
      </c>
      <c r="F74" t="s">
        <v>13</v>
      </c>
      <c r="G74" t="s">
        <v>14</v>
      </c>
      <c r="H74">
        <v>831.93600000000015</v>
      </c>
      <c r="I74">
        <v>8</v>
      </c>
      <c r="J74">
        <v>0.2</v>
      </c>
      <c r="K74">
        <v>-114.39120000000003</v>
      </c>
    </row>
    <row r="75" spans="1:11" x14ac:dyDescent="0.25">
      <c r="A75">
        <f>YEAR([1]Data!$D75)</f>
        <v>2012</v>
      </c>
      <c r="B75">
        <v>41025</v>
      </c>
      <c r="C75">
        <v>41031</v>
      </c>
      <c r="D75" t="s">
        <v>11</v>
      </c>
      <c r="E75" t="s">
        <v>39</v>
      </c>
      <c r="F75" t="s">
        <v>13</v>
      </c>
      <c r="G75" t="s">
        <v>14</v>
      </c>
      <c r="H75">
        <v>97.04</v>
      </c>
      <c r="I75">
        <v>2</v>
      </c>
      <c r="J75">
        <v>0.2</v>
      </c>
      <c r="K75">
        <v>1.2129999999999974</v>
      </c>
    </row>
    <row r="76" spans="1:11" x14ac:dyDescent="0.25">
      <c r="A76">
        <f>YEAR([1]Data!$D76)</f>
        <v>2012</v>
      </c>
      <c r="B76">
        <v>41025</v>
      </c>
      <c r="C76">
        <v>41031</v>
      </c>
      <c r="D76" t="s">
        <v>11</v>
      </c>
      <c r="E76" t="s">
        <v>39</v>
      </c>
      <c r="F76" t="s">
        <v>13</v>
      </c>
      <c r="G76" t="s">
        <v>18</v>
      </c>
      <c r="H76">
        <v>72.784000000000006</v>
      </c>
      <c r="I76">
        <v>1</v>
      </c>
      <c r="J76">
        <v>0.2</v>
      </c>
      <c r="K76">
        <v>-18.196000000000002</v>
      </c>
    </row>
    <row r="77" spans="1:11" x14ac:dyDescent="0.25">
      <c r="A77">
        <f>YEAR([1]Data!$D77)</f>
        <v>2014</v>
      </c>
      <c r="B77">
        <v>41983</v>
      </c>
      <c r="C77">
        <v>41985</v>
      </c>
      <c r="D77" t="s">
        <v>15</v>
      </c>
      <c r="E77" t="s">
        <v>24</v>
      </c>
      <c r="F77" t="s">
        <v>25</v>
      </c>
      <c r="G77" t="s">
        <v>18</v>
      </c>
      <c r="H77">
        <v>1.2479999999999998</v>
      </c>
      <c r="I77">
        <v>3</v>
      </c>
      <c r="J77">
        <v>0.8</v>
      </c>
      <c r="K77">
        <v>-1.9344000000000006</v>
      </c>
    </row>
    <row r="78" spans="1:11" x14ac:dyDescent="0.25">
      <c r="A78">
        <f>YEAR([1]Data!$D78)</f>
        <v>2014</v>
      </c>
      <c r="B78">
        <v>41983</v>
      </c>
      <c r="C78">
        <v>41985</v>
      </c>
      <c r="D78" t="s">
        <v>15</v>
      </c>
      <c r="E78" t="s">
        <v>24</v>
      </c>
      <c r="F78" t="s">
        <v>25</v>
      </c>
      <c r="G78" t="s">
        <v>14</v>
      </c>
      <c r="H78">
        <v>9.7080000000000002</v>
      </c>
      <c r="I78">
        <v>3</v>
      </c>
      <c r="J78">
        <v>0.6</v>
      </c>
      <c r="K78">
        <v>-5.8248000000000015</v>
      </c>
    </row>
    <row r="79" spans="1:11" x14ac:dyDescent="0.25">
      <c r="A79">
        <f>YEAR([1]Data!$D79)</f>
        <v>2014</v>
      </c>
      <c r="B79">
        <v>41983</v>
      </c>
      <c r="C79">
        <v>41985</v>
      </c>
      <c r="D79" t="s">
        <v>15</v>
      </c>
      <c r="E79" t="s">
        <v>24</v>
      </c>
      <c r="F79" t="s">
        <v>25</v>
      </c>
      <c r="G79" t="s">
        <v>18</v>
      </c>
      <c r="H79">
        <v>27.240000000000002</v>
      </c>
      <c r="I79">
        <v>3</v>
      </c>
      <c r="J79">
        <v>0.2</v>
      </c>
      <c r="K79">
        <v>2.724000000000002</v>
      </c>
    </row>
    <row r="80" spans="1:11" x14ac:dyDescent="0.25">
      <c r="A80">
        <f>YEAR([1]Data!$D80)</f>
        <v>2011</v>
      </c>
      <c r="B80">
        <v>40873</v>
      </c>
      <c r="C80">
        <v>40878</v>
      </c>
      <c r="D80" t="s">
        <v>11</v>
      </c>
      <c r="E80" t="s">
        <v>24</v>
      </c>
      <c r="F80" t="s">
        <v>25</v>
      </c>
      <c r="G80" t="s">
        <v>14</v>
      </c>
      <c r="H80">
        <v>19.3</v>
      </c>
      <c r="I80">
        <v>5</v>
      </c>
      <c r="J80">
        <v>0.6</v>
      </c>
      <c r="K80">
        <v>-14.475000000000001</v>
      </c>
    </row>
    <row r="81" spans="1:11" x14ac:dyDescent="0.25">
      <c r="A81">
        <f>YEAR([1]Data!$D81)</f>
        <v>2013</v>
      </c>
      <c r="B81">
        <v>41438</v>
      </c>
      <c r="C81">
        <v>41441</v>
      </c>
      <c r="D81" t="s">
        <v>15</v>
      </c>
      <c r="E81" t="s">
        <v>40</v>
      </c>
      <c r="F81" t="s">
        <v>13</v>
      </c>
      <c r="G81" t="s">
        <v>18</v>
      </c>
      <c r="H81">
        <v>208.16</v>
      </c>
      <c r="I81">
        <v>1</v>
      </c>
      <c r="J81">
        <v>0</v>
      </c>
      <c r="K81">
        <v>56.20320000000001</v>
      </c>
    </row>
    <row r="82" spans="1:11" x14ac:dyDescent="0.25">
      <c r="A82">
        <f>YEAR([1]Data!$D82)</f>
        <v>2013</v>
      </c>
      <c r="B82">
        <v>41438</v>
      </c>
      <c r="C82">
        <v>41441</v>
      </c>
      <c r="D82" t="s">
        <v>15</v>
      </c>
      <c r="E82" t="s">
        <v>40</v>
      </c>
      <c r="F82" t="s">
        <v>13</v>
      </c>
      <c r="G82" t="s">
        <v>18</v>
      </c>
      <c r="H82">
        <v>16.740000000000002</v>
      </c>
      <c r="I82">
        <v>3</v>
      </c>
      <c r="J82">
        <v>0</v>
      </c>
      <c r="K82">
        <v>8.0351999999999997</v>
      </c>
    </row>
    <row r="83" spans="1:11" x14ac:dyDescent="0.25">
      <c r="A83">
        <f>YEAR([1]Data!$D83)</f>
        <v>2011</v>
      </c>
      <c r="B83">
        <v>40828</v>
      </c>
      <c r="C83">
        <v>40832</v>
      </c>
      <c r="D83" t="s">
        <v>11</v>
      </c>
      <c r="E83" t="s">
        <v>16</v>
      </c>
      <c r="F83" t="s">
        <v>17</v>
      </c>
      <c r="G83" t="s">
        <v>18</v>
      </c>
      <c r="H83">
        <v>14.9</v>
      </c>
      <c r="I83">
        <v>5</v>
      </c>
      <c r="J83">
        <v>0</v>
      </c>
      <c r="K83">
        <v>4.1720000000000006</v>
      </c>
    </row>
    <row r="84" spans="1:11" x14ac:dyDescent="0.25">
      <c r="A84">
        <f>YEAR([1]Data!$D84)</f>
        <v>2011</v>
      </c>
      <c r="B84">
        <v>40828</v>
      </c>
      <c r="C84">
        <v>40832</v>
      </c>
      <c r="D84" t="s">
        <v>11</v>
      </c>
      <c r="E84" t="s">
        <v>16</v>
      </c>
      <c r="F84" t="s">
        <v>17</v>
      </c>
      <c r="G84" t="s">
        <v>18</v>
      </c>
      <c r="H84">
        <v>21.39</v>
      </c>
      <c r="I84">
        <v>1</v>
      </c>
      <c r="J84">
        <v>0</v>
      </c>
      <c r="K84">
        <v>6.2030999999999992</v>
      </c>
    </row>
    <row r="85" spans="1:11" x14ac:dyDescent="0.25">
      <c r="A85">
        <f>YEAR([1]Data!$D85)</f>
        <v>2012</v>
      </c>
      <c r="B85">
        <v>41155</v>
      </c>
      <c r="C85">
        <v>41160</v>
      </c>
      <c r="D85" t="s">
        <v>15</v>
      </c>
      <c r="E85" t="s">
        <v>21</v>
      </c>
      <c r="F85" t="s">
        <v>13</v>
      </c>
      <c r="G85" t="s">
        <v>18</v>
      </c>
      <c r="H85">
        <v>200.98400000000004</v>
      </c>
      <c r="I85">
        <v>7</v>
      </c>
      <c r="J85">
        <v>0.2</v>
      </c>
      <c r="K85">
        <v>62.807499999999976</v>
      </c>
    </row>
    <row r="86" spans="1:11" x14ac:dyDescent="0.25">
      <c r="A86">
        <f>YEAR([1]Data!$D86)</f>
        <v>2014</v>
      </c>
      <c r="B86">
        <v>41957</v>
      </c>
      <c r="C86">
        <v>41960</v>
      </c>
      <c r="D86" t="s">
        <v>23</v>
      </c>
      <c r="E86" t="s">
        <v>31</v>
      </c>
      <c r="F86" t="s">
        <v>25</v>
      </c>
      <c r="G86" t="s">
        <v>18</v>
      </c>
      <c r="H86">
        <v>230.376</v>
      </c>
      <c r="I86">
        <v>3</v>
      </c>
      <c r="J86">
        <v>0.2</v>
      </c>
      <c r="K86">
        <v>-48.954900000000002</v>
      </c>
    </row>
    <row r="87" spans="1:11" x14ac:dyDescent="0.25">
      <c r="A87">
        <f>YEAR([1]Data!$D87)</f>
        <v>2014</v>
      </c>
      <c r="B87">
        <v>41788</v>
      </c>
      <c r="C87">
        <v>41790</v>
      </c>
      <c r="D87" t="s">
        <v>11</v>
      </c>
      <c r="E87" t="s">
        <v>41</v>
      </c>
      <c r="F87" t="s">
        <v>13</v>
      </c>
      <c r="G87" t="s">
        <v>14</v>
      </c>
      <c r="H87">
        <v>301.95999999999998</v>
      </c>
      <c r="I87">
        <v>2</v>
      </c>
      <c r="J87">
        <v>0</v>
      </c>
      <c r="K87">
        <v>33.215599999999995</v>
      </c>
    </row>
    <row r="88" spans="1:11" x14ac:dyDescent="0.25">
      <c r="A88">
        <f>YEAR([1]Data!$D88)</f>
        <v>2014</v>
      </c>
      <c r="B88">
        <v>41939</v>
      </c>
      <c r="C88">
        <v>41946</v>
      </c>
      <c r="D88" t="s">
        <v>11</v>
      </c>
      <c r="E88" t="s">
        <v>32</v>
      </c>
      <c r="F88" t="s">
        <v>25</v>
      </c>
      <c r="G88" t="s">
        <v>20</v>
      </c>
      <c r="H88">
        <v>19.989999999999998</v>
      </c>
      <c r="I88">
        <v>1</v>
      </c>
      <c r="J88">
        <v>0</v>
      </c>
      <c r="K88">
        <v>6.796599999999998</v>
      </c>
    </row>
    <row r="89" spans="1:11" x14ac:dyDescent="0.25">
      <c r="A89">
        <f>YEAR([1]Data!$D89)</f>
        <v>2014</v>
      </c>
      <c r="B89">
        <v>41939</v>
      </c>
      <c r="C89">
        <v>41946</v>
      </c>
      <c r="D89" t="s">
        <v>11</v>
      </c>
      <c r="E89" t="s">
        <v>32</v>
      </c>
      <c r="F89" t="s">
        <v>25</v>
      </c>
      <c r="G89" t="s">
        <v>18</v>
      </c>
      <c r="H89">
        <v>6.16</v>
      </c>
      <c r="I89">
        <v>2</v>
      </c>
      <c r="J89">
        <v>0</v>
      </c>
      <c r="K89">
        <v>2.9567999999999999</v>
      </c>
    </row>
    <row r="90" spans="1:11" x14ac:dyDescent="0.25">
      <c r="A90">
        <f>YEAR([1]Data!$D90)</f>
        <v>2013</v>
      </c>
      <c r="B90">
        <v>41370</v>
      </c>
      <c r="C90">
        <v>41375</v>
      </c>
      <c r="D90" t="s">
        <v>23</v>
      </c>
      <c r="E90" t="s">
        <v>24</v>
      </c>
      <c r="F90" t="s">
        <v>25</v>
      </c>
      <c r="G90" t="s">
        <v>18</v>
      </c>
      <c r="H90">
        <v>158.36800000000002</v>
      </c>
      <c r="I90">
        <v>7</v>
      </c>
      <c r="J90">
        <v>0.2</v>
      </c>
      <c r="K90">
        <v>13.857199999999999</v>
      </c>
    </row>
    <row r="91" spans="1:11" x14ac:dyDescent="0.25">
      <c r="A91">
        <f>YEAR([1]Data!$D91)</f>
        <v>2013</v>
      </c>
      <c r="B91">
        <v>41535</v>
      </c>
      <c r="C91">
        <v>41540</v>
      </c>
      <c r="D91" t="s">
        <v>15</v>
      </c>
      <c r="E91" t="s">
        <v>16</v>
      </c>
      <c r="F91" t="s">
        <v>17</v>
      </c>
      <c r="G91" t="s">
        <v>18</v>
      </c>
      <c r="H91">
        <v>20.100000000000001</v>
      </c>
      <c r="I91">
        <v>3</v>
      </c>
      <c r="J91">
        <v>0</v>
      </c>
      <c r="K91">
        <v>6.6329999999999982</v>
      </c>
    </row>
    <row r="92" spans="1:11" x14ac:dyDescent="0.25">
      <c r="A92">
        <f>YEAR([1]Data!$D92)</f>
        <v>2013</v>
      </c>
      <c r="B92">
        <v>41535</v>
      </c>
      <c r="C92">
        <v>41540</v>
      </c>
      <c r="D92" t="s">
        <v>15</v>
      </c>
      <c r="E92" t="s">
        <v>16</v>
      </c>
      <c r="F92" t="s">
        <v>17</v>
      </c>
      <c r="G92" t="s">
        <v>20</v>
      </c>
      <c r="H92">
        <v>73.584000000000003</v>
      </c>
      <c r="I92">
        <v>2</v>
      </c>
      <c r="J92">
        <v>0.2</v>
      </c>
      <c r="K92">
        <v>8.2781999999999982</v>
      </c>
    </row>
    <row r="93" spans="1:11" x14ac:dyDescent="0.25">
      <c r="A93">
        <f>YEAR([1]Data!$D93)</f>
        <v>2013</v>
      </c>
      <c r="B93">
        <v>41535</v>
      </c>
      <c r="C93">
        <v>41540</v>
      </c>
      <c r="D93" t="s">
        <v>15</v>
      </c>
      <c r="E93" t="s">
        <v>16</v>
      </c>
      <c r="F93" t="s">
        <v>17</v>
      </c>
      <c r="G93" t="s">
        <v>18</v>
      </c>
      <c r="H93">
        <v>6.48</v>
      </c>
      <c r="I93">
        <v>1</v>
      </c>
      <c r="J93">
        <v>0</v>
      </c>
      <c r="K93">
        <v>3.1104000000000003</v>
      </c>
    </row>
    <row r="94" spans="1:11" x14ac:dyDescent="0.25">
      <c r="A94">
        <f>YEAR([1]Data!$D94)</f>
        <v>2012</v>
      </c>
      <c r="B94">
        <v>40939</v>
      </c>
      <c r="C94">
        <v>40944</v>
      </c>
      <c r="D94" t="s">
        <v>11</v>
      </c>
      <c r="E94" t="s">
        <v>32</v>
      </c>
      <c r="F94" t="s">
        <v>25</v>
      </c>
      <c r="G94" t="s">
        <v>18</v>
      </c>
      <c r="H94">
        <v>12.96</v>
      </c>
      <c r="I94">
        <v>2</v>
      </c>
      <c r="J94">
        <v>0</v>
      </c>
      <c r="K94">
        <v>6.2208000000000006</v>
      </c>
    </row>
    <row r="95" spans="1:11" x14ac:dyDescent="0.25">
      <c r="A95">
        <f>YEAR([1]Data!$D95)</f>
        <v>2012</v>
      </c>
      <c r="B95">
        <v>40939</v>
      </c>
      <c r="C95">
        <v>40944</v>
      </c>
      <c r="D95" t="s">
        <v>11</v>
      </c>
      <c r="E95" t="s">
        <v>32</v>
      </c>
      <c r="F95" t="s">
        <v>25</v>
      </c>
      <c r="G95" t="s">
        <v>14</v>
      </c>
      <c r="H95">
        <v>53.34</v>
      </c>
      <c r="I95">
        <v>3</v>
      </c>
      <c r="J95">
        <v>0</v>
      </c>
      <c r="K95">
        <v>16.535399999999996</v>
      </c>
    </row>
    <row r="96" spans="1:11" x14ac:dyDescent="0.25">
      <c r="A96">
        <f>YEAR([1]Data!$D96)</f>
        <v>2012</v>
      </c>
      <c r="B96">
        <v>40939</v>
      </c>
      <c r="C96">
        <v>40944</v>
      </c>
      <c r="D96" t="s">
        <v>11</v>
      </c>
      <c r="E96" t="s">
        <v>32</v>
      </c>
      <c r="F96" t="s">
        <v>25</v>
      </c>
      <c r="G96" t="s">
        <v>18</v>
      </c>
      <c r="H96">
        <v>32.96</v>
      </c>
      <c r="I96">
        <v>2</v>
      </c>
      <c r="J96">
        <v>0</v>
      </c>
      <c r="K96">
        <v>16.150400000000001</v>
      </c>
    </row>
    <row r="97" spans="1:11" x14ac:dyDescent="0.25">
      <c r="A97">
        <f>YEAR([1]Data!$D97)</f>
        <v>2014</v>
      </c>
      <c r="B97">
        <v>41950</v>
      </c>
      <c r="C97">
        <v>41956</v>
      </c>
      <c r="D97" t="s">
        <v>23</v>
      </c>
      <c r="E97" t="s">
        <v>42</v>
      </c>
      <c r="F97" t="s">
        <v>17</v>
      </c>
      <c r="G97" t="s">
        <v>18</v>
      </c>
      <c r="H97">
        <v>5.6820000000000013</v>
      </c>
      <c r="I97">
        <v>1</v>
      </c>
      <c r="J97">
        <v>0.7</v>
      </c>
      <c r="K97">
        <v>-3.7880000000000003</v>
      </c>
    </row>
    <row r="98" spans="1:11" x14ac:dyDescent="0.25">
      <c r="A98">
        <f>YEAR([1]Data!$D98)</f>
        <v>2014</v>
      </c>
      <c r="B98">
        <v>41953</v>
      </c>
      <c r="C98">
        <v>41955</v>
      </c>
      <c r="D98" t="s">
        <v>23</v>
      </c>
      <c r="E98" t="s">
        <v>36</v>
      </c>
      <c r="F98" t="s">
        <v>30</v>
      </c>
      <c r="G98" t="s">
        <v>14</v>
      </c>
      <c r="H98">
        <v>96.53</v>
      </c>
      <c r="I98">
        <v>7</v>
      </c>
      <c r="J98">
        <v>0</v>
      </c>
      <c r="K98">
        <v>40.5426</v>
      </c>
    </row>
    <row r="99" spans="1:11" x14ac:dyDescent="0.25">
      <c r="A99">
        <f>YEAR([1]Data!$D99)</f>
        <v>2014</v>
      </c>
      <c r="B99">
        <v>41808</v>
      </c>
      <c r="C99">
        <v>41811</v>
      </c>
      <c r="D99" t="s">
        <v>11</v>
      </c>
      <c r="E99" t="s">
        <v>16</v>
      </c>
      <c r="F99" t="s">
        <v>17</v>
      </c>
      <c r="G99" t="s">
        <v>18</v>
      </c>
      <c r="H99">
        <v>51.311999999999998</v>
      </c>
      <c r="I99">
        <v>3</v>
      </c>
      <c r="J99">
        <v>0.2</v>
      </c>
      <c r="K99">
        <v>17.959199999999999</v>
      </c>
    </row>
    <row r="100" spans="1:11" x14ac:dyDescent="0.25">
      <c r="A100">
        <f>YEAR([1]Data!$D100)</f>
        <v>2013</v>
      </c>
      <c r="B100">
        <v>41524</v>
      </c>
      <c r="C100">
        <v>41529</v>
      </c>
      <c r="D100" t="s">
        <v>15</v>
      </c>
      <c r="E100" t="s">
        <v>32</v>
      </c>
      <c r="F100" t="s">
        <v>25</v>
      </c>
      <c r="G100" t="s">
        <v>18</v>
      </c>
      <c r="H100">
        <v>77.88</v>
      </c>
      <c r="I100">
        <v>6</v>
      </c>
      <c r="J100">
        <v>0</v>
      </c>
      <c r="K100">
        <v>22.585199999999993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E578-528F-4F4F-8DE6-C6180793B986}">
  <dimension ref="A2:C25"/>
  <sheetViews>
    <sheetView workbookViewId="0">
      <selection activeCell="B11" sqref="B11"/>
    </sheetView>
  </sheetViews>
  <sheetFormatPr defaultRowHeight="15" x14ac:dyDescent="0.25"/>
  <cols>
    <col min="1" max="1" width="14.140625" bestFit="1" customWidth="1"/>
    <col min="2" max="2" width="12.7109375" bestFit="1" customWidth="1"/>
    <col min="3" max="3" width="12.5703125" bestFit="1" customWidth="1"/>
  </cols>
  <sheetData>
    <row r="2" spans="1:3" x14ac:dyDescent="0.25">
      <c r="A2" s="14" t="s">
        <v>4</v>
      </c>
      <c r="B2" t="s">
        <v>48</v>
      </c>
      <c r="C2" t="s">
        <v>49</v>
      </c>
    </row>
    <row r="3" spans="1:3" x14ac:dyDescent="0.25">
      <c r="A3" t="s">
        <v>16</v>
      </c>
      <c r="B3">
        <v>506.57219999999984</v>
      </c>
      <c r="C3">
        <v>4607.8419999999987</v>
      </c>
    </row>
    <row r="4" spans="1:3" x14ac:dyDescent="0.25">
      <c r="A4" t="s">
        <v>36</v>
      </c>
      <c r="B4">
        <v>449.49650000000003</v>
      </c>
      <c r="C4">
        <v>1801.4460000000001</v>
      </c>
    </row>
    <row r="5" spans="1:3" x14ac:dyDescent="0.25">
      <c r="A5" t="s">
        <v>12</v>
      </c>
      <c r="B5">
        <v>261.49559999999997</v>
      </c>
      <c r="C5">
        <v>993.89999999999986</v>
      </c>
    </row>
    <row r="6" spans="1:3" x14ac:dyDescent="0.25">
      <c r="A6" t="s">
        <v>27</v>
      </c>
      <c r="B6">
        <v>250.25490000000002</v>
      </c>
      <c r="C6">
        <v>1100.1299999999999</v>
      </c>
    </row>
    <row r="7" spans="1:3" x14ac:dyDescent="0.25">
      <c r="A7" t="s">
        <v>37</v>
      </c>
      <c r="B7">
        <v>174.29039999999998</v>
      </c>
      <c r="C7">
        <v>1280.9920000000002</v>
      </c>
    </row>
    <row r="8" spans="1:3" x14ac:dyDescent="0.25">
      <c r="A8" t="s">
        <v>22</v>
      </c>
      <c r="B8">
        <v>132.59219999999993</v>
      </c>
      <c r="C8">
        <v>407.97600000000006</v>
      </c>
    </row>
    <row r="9" spans="1:3" x14ac:dyDescent="0.25">
      <c r="A9" t="s">
        <v>32</v>
      </c>
      <c r="B9">
        <v>99.222799999999978</v>
      </c>
      <c r="C9">
        <v>266.73</v>
      </c>
    </row>
    <row r="10" spans="1:3" x14ac:dyDescent="0.25">
      <c r="A10" t="s">
        <v>35</v>
      </c>
      <c r="B10">
        <v>73.352899999999977</v>
      </c>
      <c r="C10">
        <v>209.54999999999998</v>
      </c>
    </row>
    <row r="11" spans="1:3" x14ac:dyDescent="0.25">
      <c r="A11" t="s">
        <v>21</v>
      </c>
      <c r="B11">
        <v>68.250699999999981</v>
      </c>
      <c r="C11">
        <v>216.53600000000003</v>
      </c>
    </row>
    <row r="12" spans="1:3" x14ac:dyDescent="0.25">
      <c r="A12" t="s">
        <v>40</v>
      </c>
      <c r="B12">
        <v>64.238400000000013</v>
      </c>
      <c r="C12">
        <v>224.9</v>
      </c>
    </row>
    <row r="13" spans="1:3" x14ac:dyDescent="0.25">
      <c r="A13" t="s">
        <v>38</v>
      </c>
      <c r="B13">
        <v>35.663599999999995</v>
      </c>
      <c r="C13">
        <v>75.88</v>
      </c>
    </row>
    <row r="14" spans="1:3" x14ac:dyDescent="0.25">
      <c r="A14" t="s">
        <v>41</v>
      </c>
      <c r="B14">
        <v>33.215599999999995</v>
      </c>
      <c r="C14">
        <v>301.95999999999998</v>
      </c>
    </row>
    <row r="15" spans="1:3" x14ac:dyDescent="0.25">
      <c r="A15" t="s">
        <v>28</v>
      </c>
      <c r="B15">
        <v>20.748000000000001</v>
      </c>
      <c r="C15">
        <v>79.8</v>
      </c>
    </row>
    <row r="16" spans="1:3" x14ac:dyDescent="0.25">
      <c r="A16" t="s">
        <v>33</v>
      </c>
      <c r="B16">
        <v>17.241399999999992</v>
      </c>
      <c r="C16">
        <v>231.01</v>
      </c>
    </row>
    <row r="17" spans="1:3" x14ac:dyDescent="0.25">
      <c r="A17" t="s">
        <v>26</v>
      </c>
      <c r="B17">
        <v>13.317599999999999</v>
      </c>
      <c r="C17">
        <v>665.88</v>
      </c>
    </row>
    <row r="18" spans="1:3" x14ac:dyDescent="0.25">
      <c r="A18" t="s">
        <v>34</v>
      </c>
      <c r="B18">
        <v>11.054000000000002</v>
      </c>
      <c r="C18">
        <v>66.8</v>
      </c>
    </row>
    <row r="19" spans="1:3" x14ac:dyDescent="0.25">
      <c r="A19" t="s">
        <v>42</v>
      </c>
      <c r="B19">
        <v>-3.7880000000000003</v>
      </c>
      <c r="C19">
        <v>5.6820000000000013</v>
      </c>
    </row>
    <row r="20" spans="1:3" x14ac:dyDescent="0.25">
      <c r="A20" t="s">
        <v>31</v>
      </c>
      <c r="B20">
        <v>-47.621000000000016</v>
      </c>
      <c r="C20">
        <v>590.65899999999999</v>
      </c>
    </row>
    <row r="21" spans="1:3" x14ac:dyDescent="0.25">
      <c r="A21" t="s">
        <v>39</v>
      </c>
      <c r="B21">
        <v>-131.37420000000003</v>
      </c>
      <c r="C21">
        <v>1001.7600000000001</v>
      </c>
    </row>
    <row r="22" spans="1:3" x14ac:dyDescent="0.25">
      <c r="A22" t="s">
        <v>24</v>
      </c>
      <c r="B22">
        <v>-132.82150000000021</v>
      </c>
      <c r="C22">
        <v>2834.1072000000004</v>
      </c>
    </row>
    <row r="23" spans="1:3" x14ac:dyDescent="0.25">
      <c r="A23" t="s">
        <v>19</v>
      </c>
      <c r="B23">
        <v>-370.95300000000009</v>
      </c>
      <c r="C23">
        <v>1075.5615</v>
      </c>
    </row>
    <row r="24" spans="1:3" x14ac:dyDescent="0.25">
      <c r="A24" t="s">
        <v>29</v>
      </c>
      <c r="B24">
        <v>-1648.9582</v>
      </c>
      <c r="C24">
        <v>3400.8060000000005</v>
      </c>
    </row>
    <row r="25" spans="1:3" x14ac:dyDescent="0.25">
      <c r="A25" t="s">
        <v>50</v>
      </c>
      <c r="B25">
        <v>-124.50910000000042</v>
      </c>
      <c r="C25">
        <v>21439.9077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CB737-E9A0-422A-9AD7-3DA8292D4D3D}">
  <dimension ref="A2:B6"/>
  <sheetViews>
    <sheetView workbookViewId="0"/>
  </sheetViews>
  <sheetFormatPr defaultRowHeight="15" x14ac:dyDescent="0.25"/>
  <cols>
    <col min="1" max="1" width="11.7109375" bestFit="1" customWidth="1"/>
    <col min="2" max="2" width="16" bestFit="1" customWidth="1"/>
  </cols>
  <sheetData>
    <row r="2" spans="1:2" x14ac:dyDescent="0.25">
      <c r="A2" s="14" t="s">
        <v>3</v>
      </c>
      <c r="B2" t="s">
        <v>51</v>
      </c>
    </row>
    <row r="3" spans="1:2" x14ac:dyDescent="0.25">
      <c r="A3" t="s">
        <v>11</v>
      </c>
      <c r="B3">
        <v>7.5500000000000016</v>
      </c>
    </row>
    <row r="4" spans="1:2" x14ac:dyDescent="0.25">
      <c r="A4" t="s">
        <v>23</v>
      </c>
      <c r="B4">
        <v>4.22</v>
      </c>
    </row>
    <row r="5" spans="1:2" x14ac:dyDescent="0.25">
      <c r="A5" t="s">
        <v>15</v>
      </c>
      <c r="B5">
        <v>3.6000000000000005</v>
      </c>
    </row>
    <row r="6" spans="1:2" x14ac:dyDescent="0.25">
      <c r="A6" t="s">
        <v>50</v>
      </c>
      <c r="B6">
        <v>15.370000000000001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58B9-DBCE-4C92-8ED2-A37331E21CEE}">
  <dimension ref="A2:B6"/>
  <sheetViews>
    <sheetView workbookViewId="0"/>
  </sheetViews>
  <sheetFormatPr defaultRowHeight="15" x14ac:dyDescent="0.25"/>
  <cols>
    <col min="1" max="1" width="11.7109375" bestFit="1" customWidth="1"/>
    <col min="2" max="2" width="12.5703125" bestFit="1" customWidth="1"/>
  </cols>
  <sheetData>
    <row r="2" spans="1:2" x14ac:dyDescent="0.25">
      <c r="A2" s="14" t="s">
        <v>3</v>
      </c>
      <c r="B2" t="s">
        <v>49</v>
      </c>
    </row>
    <row r="3" spans="1:2" x14ac:dyDescent="0.25">
      <c r="A3" t="s">
        <v>11</v>
      </c>
      <c r="B3">
        <v>14670.74349999999</v>
      </c>
    </row>
    <row r="4" spans="1:2" x14ac:dyDescent="0.25">
      <c r="A4" t="s">
        <v>15</v>
      </c>
      <c r="B4">
        <v>4735.3140000000003</v>
      </c>
    </row>
    <row r="5" spans="1:2" x14ac:dyDescent="0.25">
      <c r="A5" t="s">
        <v>23</v>
      </c>
      <c r="B5">
        <v>2033.8501999999999</v>
      </c>
    </row>
    <row r="6" spans="1:2" x14ac:dyDescent="0.25">
      <c r="A6" t="s">
        <v>50</v>
      </c>
      <c r="B6">
        <v>21439.907699999989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005B-E880-4845-A7B8-A826D61F2ACC}">
  <dimension ref="A1"/>
  <sheetViews>
    <sheetView workbookViewId="0">
      <selection activeCell="M36" sqref="M36"/>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3E5E-2418-472E-A6BC-F548BF8E7216}">
  <dimension ref="B2:G10"/>
  <sheetViews>
    <sheetView showGridLines="0" workbookViewId="0"/>
  </sheetViews>
  <sheetFormatPr defaultRowHeight="15" x14ac:dyDescent="0.25"/>
  <cols>
    <col min="2" max="2" width="3.85546875" customWidth="1"/>
    <col min="3" max="3" width="15.7109375" bestFit="1" customWidth="1"/>
    <col min="4" max="6" width="12.42578125" bestFit="1" customWidth="1"/>
    <col min="7" max="7" width="11.28515625" bestFit="1" customWidth="1"/>
  </cols>
  <sheetData>
    <row r="2" spans="2:7" x14ac:dyDescent="0.25">
      <c r="B2" s="15" t="s">
        <v>52</v>
      </c>
    </row>
    <row r="4" spans="2:7" x14ac:dyDescent="0.25">
      <c r="C4" s="14" t="s">
        <v>53</v>
      </c>
      <c r="D4" s="14" t="s">
        <v>3</v>
      </c>
    </row>
    <row r="5" spans="2:7" x14ac:dyDescent="0.25">
      <c r="C5" s="14" t="s">
        <v>5</v>
      </c>
      <c r="D5" t="s">
        <v>23</v>
      </c>
      <c r="E5" t="s">
        <v>15</v>
      </c>
      <c r="F5" t="s">
        <v>11</v>
      </c>
      <c r="G5" t="s">
        <v>50</v>
      </c>
    </row>
    <row r="6" spans="2:7" x14ac:dyDescent="0.25">
      <c r="C6" t="s">
        <v>25</v>
      </c>
      <c r="D6">
        <v>10</v>
      </c>
      <c r="E6">
        <v>11</v>
      </c>
      <c r="F6">
        <v>13</v>
      </c>
      <c r="G6">
        <v>34</v>
      </c>
    </row>
    <row r="7" spans="2:7" x14ac:dyDescent="0.25">
      <c r="C7" t="s">
        <v>30</v>
      </c>
      <c r="D7">
        <v>1</v>
      </c>
      <c r="E7">
        <v>2</v>
      </c>
      <c r="F7">
        <v>18</v>
      </c>
      <c r="G7">
        <v>21</v>
      </c>
    </row>
    <row r="8" spans="2:7" x14ac:dyDescent="0.25">
      <c r="C8" t="s">
        <v>13</v>
      </c>
      <c r="E8">
        <v>4</v>
      </c>
      <c r="F8">
        <v>10</v>
      </c>
      <c r="G8">
        <v>14</v>
      </c>
    </row>
    <row r="9" spans="2:7" x14ac:dyDescent="0.25">
      <c r="C9" t="s">
        <v>17</v>
      </c>
      <c r="D9">
        <v>1</v>
      </c>
      <c r="E9">
        <v>7</v>
      </c>
      <c r="F9">
        <v>22</v>
      </c>
      <c r="G9">
        <v>30</v>
      </c>
    </row>
    <row r="10" spans="2:7" x14ac:dyDescent="0.25">
      <c r="C10" t="s">
        <v>50</v>
      </c>
      <c r="D10">
        <v>12</v>
      </c>
      <c r="E10">
        <v>24</v>
      </c>
      <c r="F10">
        <v>63</v>
      </c>
      <c r="G10">
        <v>99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66BB-CC61-4EE9-BE71-47C0CB0C29B5}">
  <dimension ref="A1:E11"/>
  <sheetViews>
    <sheetView workbookViewId="0">
      <selection activeCell="B6" sqref="B6"/>
    </sheetView>
  </sheetViews>
  <sheetFormatPr defaultRowHeight="15" x14ac:dyDescent="0.25"/>
  <cols>
    <col min="1" max="1" width="11" customWidth="1"/>
    <col min="3" max="3" width="10.85546875" customWidth="1"/>
    <col min="4" max="5" width="25.7109375" customWidth="1"/>
  </cols>
  <sheetData>
    <row r="1" spans="1:5" x14ac:dyDescent="0.25">
      <c r="A1" t="s">
        <v>54</v>
      </c>
      <c r="B1" t="s">
        <v>55</v>
      </c>
      <c r="C1" t="s">
        <v>56</v>
      </c>
      <c r="D1" t="s">
        <v>57</v>
      </c>
      <c r="E1" t="s">
        <v>58</v>
      </c>
    </row>
    <row r="2" spans="1:5" x14ac:dyDescent="0.25">
      <c r="A2">
        <v>2011</v>
      </c>
      <c r="B2">
        <v>29.367922222222212</v>
      </c>
    </row>
    <row r="3" spans="1:5" x14ac:dyDescent="0.25">
      <c r="A3">
        <v>2012</v>
      </c>
      <c r="B3">
        <v>-55.172990625000018</v>
      </c>
    </row>
    <row r="4" spans="1:5" x14ac:dyDescent="0.25">
      <c r="A4">
        <v>2013</v>
      </c>
      <c r="B4">
        <v>30.892724242424233</v>
      </c>
    </row>
    <row r="5" spans="1:5" x14ac:dyDescent="0.25">
      <c r="A5">
        <v>2014</v>
      </c>
      <c r="B5">
        <v>5.8090062499999995</v>
      </c>
      <c r="C5">
        <v>5.8090062499999995</v>
      </c>
      <c r="D5" s="16">
        <v>5.8090062499999995</v>
      </c>
      <c r="E5" s="16">
        <v>5.8090062499999995</v>
      </c>
    </row>
    <row r="6" spans="1:5" x14ac:dyDescent="0.25">
      <c r="A6">
        <v>2015</v>
      </c>
      <c r="C6">
        <f t="shared" ref="C6:C11" si="0">_xlfn.FORECAST.ETS(A6,$B$2:$B$5,$A$2:$A$5,1,1)</f>
        <v>5.0168390656904789</v>
      </c>
      <c r="D6" s="16">
        <f t="shared" ref="D6:D11" si="1">C6-_xlfn.FORECAST.ETS.CONFINT(A6,$B$2:$B$5,$A$2:$A$5,0.95,1,1)</f>
        <v>-80.931140017450517</v>
      </c>
      <c r="E6" s="16">
        <f t="shared" ref="E6:E11" si="2">C6+_xlfn.FORECAST.ETS.CONFINT(A6,$B$2:$B$5,$A$2:$A$5,0.95,1,1)</f>
        <v>90.964818148831469</v>
      </c>
    </row>
    <row r="7" spans="1:5" x14ac:dyDescent="0.25">
      <c r="A7">
        <v>2016</v>
      </c>
      <c r="C7">
        <f t="shared" si="0"/>
        <v>-0.95357667045331185</v>
      </c>
      <c r="D7" s="16">
        <f t="shared" si="1"/>
        <v>-88.586845911231961</v>
      </c>
      <c r="E7" s="16">
        <f t="shared" si="2"/>
        <v>86.679692570325329</v>
      </c>
    </row>
    <row r="8" spans="1:5" x14ac:dyDescent="0.25">
      <c r="A8">
        <v>2017</v>
      </c>
      <c r="C8">
        <f t="shared" si="0"/>
        <v>-6.9239924065970557</v>
      </c>
      <c r="D8" s="16">
        <f t="shared" si="1"/>
        <v>-98.223444319956897</v>
      </c>
      <c r="E8" s="16">
        <f t="shared" si="2"/>
        <v>84.375459506762795</v>
      </c>
    </row>
    <row r="9" spans="1:5" x14ac:dyDescent="0.25">
      <c r="A9">
        <v>2018</v>
      </c>
      <c r="C9">
        <f t="shared" si="0"/>
        <v>-12.894408142740847</v>
      </c>
      <c r="D9" s="16">
        <f t="shared" si="1"/>
        <v>-110.36161436243152</v>
      </c>
      <c r="E9" s="16">
        <f t="shared" si="2"/>
        <v>84.572798076949837</v>
      </c>
    </row>
    <row r="10" spans="1:5" x14ac:dyDescent="0.25">
      <c r="A10">
        <v>2019</v>
      </c>
      <c r="C10">
        <f t="shared" si="0"/>
        <v>-18.864823878884589</v>
      </c>
      <c r="D10" s="16">
        <f t="shared" si="1"/>
        <v>-125.24710641614995</v>
      </c>
      <c r="E10" s="16">
        <f t="shared" si="2"/>
        <v>87.517458658380761</v>
      </c>
    </row>
    <row r="11" spans="1:5" x14ac:dyDescent="0.25">
      <c r="A11">
        <v>2020</v>
      </c>
      <c r="C11">
        <f t="shared" si="0"/>
        <v>-24.835239615028382</v>
      </c>
      <c r="D11" s="16">
        <f t="shared" si="1"/>
        <v>-142.87079452377944</v>
      </c>
      <c r="E11" s="16">
        <f t="shared" si="2"/>
        <v>93.200315293722667</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C6CC-742C-4855-AE2D-DD9BEEFB1863}">
  <dimension ref="A1:R100"/>
  <sheetViews>
    <sheetView topLeftCell="A64" workbookViewId="0">
      <selection activeCell="Q2" sqref="Q2:R100"/>
    </sheetView>
  </sheetViews>
  <sheetFormatPr defaultRowHeight="15" x14ac:dyDescent="0.25"/>
  <cols>
    <col min="2" max="3" width="10.42578125" bestFit="1" customWidth="1"/>
    <col min="17" max="17" width="10.42578125" bestFit="1" customWidth="1"/>
  </cols>
  <sheetData>
    <row r="1" spans="1:18" x14ac:dyDescent="0.25">
      <c r="A1" t="s">
        <v>0</v>
      </c>
      <c r="B1" t="s">
        <v>1</v>
      </c>
      <c r="C1" t="s">
        <v>2</v>
      </c>
      <c r="D1" t="s">
        <v>3</v>
      </c>
      <c r="E1" t="s">
        <v>4</v>
      </c>
      <c r="F1" t="s">
        <v>5</v>
      </c>
      <c r="G1" t="s">
        <v>6</v>
      </c>
      <c r="H1" t="s">
        <v>7</v>
      </c>
      <c r="I1" t="s">
        <v>8</v>
      </c>
      <c r="J1" t="s">
        <v>9</v>
      </c>
      <c r="K1" t="s">
        <v>10</v>
      </c>
      <c r="P1" t="s">
        <v>0</v>
      </c>
      <c r="Q1" t="s">
        <v>1</v>
      </c>
      <c r="R1" t="s">
        <v>10</v>
      </c>
    </row>
    <row r="2" spans="1:18" x14ac:dyDescent="0.25">
      <c r="A2">
        <f>YEAR([1]Data!$D7)</f>
        <v>2011</v>
      </c>
      <c r="B2" s="5">
        <v>40703</v>
      </c>
      <c r="C2" s="5">
        <v>40708</v>
      </c>
      <c r="D2" t="s">
        <v>11</v>
      </c>
      <c r="E2" t="s">
        <v>16</v>
      </c>
      <c r="F2" t="s">
        <v>17</v>
      </c>
      <c r="G2" t="s">
        <v>14</v>
      </c>
      <c r="H2">
        <v>48.86</v>
      </c>
      <c r="I2">
        <v>7</v>
      </c>
      <c r="J2">
        <v>0</v>
      </c>
      <c r="K2">
        <v>14.169399999999996</v>
      </c>
      <c r="P2">
        <v>2011</v>
      </c>
      <c r="Q2">
        <v>2011</v>
      </c>
      <c r="R2">
        <v>9.9899999999999949</v>
      </c>
    </row>
    <row r="3" spans="1:18" x14ac:dyDescent="0.25">
      <c r="A3">
        <f>YEAR([1]Data!$D8)</f>
        <v>2011</v>
      </c>
      <c r="B3" s="5">
        <v>40703</v>
      </c>
      <c r="C3" s="5">
        <v>40708</v>
      </c>
      <c r="D3" t="s">
        <v>11</v>
      </c>
      <c r="E3" t="s">
        <v>16</v>
      </c>
      <c r="F3" t="s">
        <v>17</v>
      </c>
      <c r="G3" t="s">
        <v>18</v>
      </c>
      <c r="H3">
        <v>7.28</v>
      </c>
      <c r="I3">
        <v>4</v>
      </c>
      <c r="J3">
        <v>0</v>
      </c>
      <c r="K3">
        <v>1.9656000000000002</v>
      </c>
      <c r="P3">
        <v>2011</v>
      </c>
      <c r="Q3">
        <v>2011</v>
      </c>
      <c r="R3">
        <v>14.169399999999996</v>
      </c>
    </row>
    <row r="4" spans="1:18" x14ac:dyDescent="0.25">
      <c r="A4">
        <f>YEAR([1]Data!$D9)</f>
        <v>2011</v>
      </c>
      <c r="B4" s="5">
        <v>40703</v>
      </c>
      <c r="C4" s="5">
        <v>40708</v>
      </c>
      <c r="D4" t="s">
        <v>11</v>
      </c>
      <c r="E4" t="s">
        <v>16</v>
      </c>
      <c r="F4" t="s">
        <v>17</v>
      </c>
      <c r="G4" t="s">
        <v>20</v>
      </c>
      <c r="H4">
        <v>907.15200000000004</v>
      </c>
      <c r="I4">
        <v>6</v>
      </c>
      <c r="J4">
        <v>0.2</v>
      </c>
      <c r="K4">
        <v>90.715200000000038</v>
      </c>
      <c r="P4">
        <v>2011</v>
      </c>
      <c r="Q4">
        <v>2011</v>
      </c>
      <c r="R4">
        <v>1.9656000000000002</v>
      </c>
    </row>
    <row r="5" spans="1:18" x14ac:dyDescent="0.25">
      <c r="A5">
        <f>YEAR([1]Data!$D10)</f>
        <v>2011</v>
      </c>
      <c r="B5" s="5">
        <v>40703</v>
      </c>
      <c r="C5" s="5">
        <v>40708</v>
      </c>
      <c r="D5" t="s">
        <v>11</v>
      </c>
      <c r="E5" t="s">
        <v>16</v>
      </c>
      <c r="F5" t="s">
        <v>17</v>
      </c>
      <c r="G5" t="s">
        <v>18</v>
      </c>
      <c r="H5">
        <v>18.504000000000001</v>
      </c>
      <c r="I5">
        <v>3</v>
      </c>
      <c r="J5">
        <v>0.2</v>
      </c>
      <c r="K5">
        <v>5.7824999999999998</v>
      </c>
      <c r="P5">
        <v>2011</v>
      </c>
      <c r="Q5">
        <v>2011</v>
      </c>
      <c r="R5">
        <v>90.715200000000038</v>
      </c>
    </row>
    <row r="6" spans="1:18" x14ac:dyDescent="0.25">
      <c r="A6">
        <f>YEAR([1]Data!$D11)</f>
        <v>2011</v>
      </c>
      <c r="B6" s="5">
        <v>40703</v>
      </c>
      <c r="C6" s="5">
        <v>40708</v>
      </c>
      <c r="D6" t="s">
        <v>11</v>
      </c>
      <c r="E6" t="s">
        <v>16</v>
      </c>
      <c r="F6" t="s">
        <v>17</v>
      </c>
      <c r="G6" t="s">
        <v>18</v>
      </c>
      <c r="H6">
        <v>114.9</v>
      </c>
      <c r="I6">
        <v>5</v>
      </c>
      <c r="J6">
        <v>0</v>
      </c>
      <c r="K6">
        <v>34.469999999999992</v>
      </c>
      <c r="P6">
        <v>2011</v>
      </c>
      <c r="Q6">
        <v>2011</v>
      </c>
      <c r="R6">
        <v>5.7824999999999998</v>
      </c>
    </row>
    <row r="7" spans="1:18" x14ac:dyDescent="0.25">
      <c r="A7">
        <f>YEAR([1]Data!$D12)</f>
        <v>2011</v>
      </c>
      <c r="B7" s="5">
        <v>40703</v>
      </c>
      <c r="C7" s="5">
        <v>40708</v>
      </c>
      <c r="D7" t="s">
        <v>11</v>
      </c>
      <c r="E7" t="s">
        <v>16</v>
      </c>
      <c r="F7" t="s">
        <v>17</v>
      </c>
      <c r="G7" t="s">
        <v>14</v>
      </c>
      <c r="H7">
        <v>1706.1840000000002</v>
      </c>
      <c r="I7">
        <v>9</v>
      </c>
      <c r="J7">
        <v>0.2</v>
      </c>
      <c r="K7">
        <v>85.309199999999805</v>
      </c>
      <c r="P7">
        <v>2011</v>
      </c>
      <c r="Q7">
        <v>2011</v>
      </c>
      <c r="R7">
        <v>34.469999999999992</v>
      </c>
    </row>
    <row r="8" spans="1:18" x14ac:dyDescent="0.25">
      <c r="A8">
        <f>YEAR([1]Data!$D13)</f>
        <v>2011</v>
      </c>
      <c r="B8" s="5">
        <v>40703</v>
      </c>
      <c r="C8" s="5">
        <v>40708</v>
      </c>
      <c r="D8" t="s">
        <v>11</v>
      </c>
      <c r="E8" t="s">
        <v>16</v>
      </c>
      <c r="F8" t="s">
        <v>17</v>
      </c>
      <c r="G8" t="s">
        <v>20</v>
      </c>
      <c r="H8">
        <v>911.42399999999998</v>
      </c>
      <c r="I8">
        <v>4</v>
      </c>
      <c r="J8">
        <v>0.2</v>
      </c>
      <c r="K8">
        <v>68.356800000000021</v>
      </c>
      <c r="P8">
        <v>2011</v>
      </c>
      <c r="Q8">
        <v>2011</v>
      </c>
      <c r="R8">
        <v>85.309199999999805</v>
      </c>
    </row>
    <row r="9" spans="1:18" x14ac:dyDescent="0.25">
      <c r="A9">
        <f>YEAR([1]Data!$D18)</f>
        <v>2011</v>
      </c>
      <c r="B9" s="5">
        <v>40858</v>
      </c>
      <c r="C9" s="5">
        <v>40865</v>
      </c>
      <c r="D9" t="s">
        <v>11</v>
      </c>
      <c r="E9" t="s">
        <v>26</v>
      </c>
      <c r="F9" t="s">
        <v>25</v>
      </c>
      <c r="G9" t="s">
        <v>18</v>
      </c>
      <c r="H9">
        <v>665.88</v>
      </c>
      <c r="I9">
        <v>6</v>
      </c>
      <c r="J9">
        <v>0</v>
      </c>
      <c r="K9">
        <v>13.317599999999999</v>
      </c>
      <c r="P9">
        <v>2011</v>
      </c>
      <c r="Q9">
        <v>2011</v>
      </c>
      <c r="R9">
        <v>68.356800000000021</v>
      </c>
    </row>
    <row r="10" spans="1:18" x14ac:dyDescent="0.25">
      <c r="A10">
        <f>YEAR([1]Data!$D19)</f>
        <v>2011</v>
      </c>
      <c r="B10" s="5">
        <v>40676</v>
      </c>
      <c r="C10" s="5">
        <v>40678</v>
      </c>
      <c r="D10" t="s">
        <v>11</v>
      </c>
      <c r="E10" t="s">
        <v>27</v>
      </c>
      <c r="F10" t="s">
        <v>17</v>
      </c>
      <c r="G10" t="s">
        <v>18</v>
      </c>
      <c r="H10">
        <v>55.5</v>
      </c>
      <c r="I10">
        <v>2</v>
      </c>
      <c r="J10">
        <v>0</v>
      </c>
      <c r="K10">
        <v>9.9899999999999949</v>
      </c>
      <c r="P10">
        <v>2011</v>
      </c>
      <c r="Q10">
        <v>2011</v>
      </c>
      <c r="R10">
        <v>2.4823999999999993</v>
      </c>
    </row>
    <row r="11" spans="1:18" x14ac:dyDescent="0.25">
      <c r="A11">
        <f>YEAR([1]Data!$D20)</f>
        <v>2011</v>
      </c>
      <c r="B11" s="5">
        <v>40782</v>
      </c>
      <c r="C11" s="5">
        <v>40787</v>
      </c>
      <c r="D11" t="s">
        <v>11</v>
      </c>
      <c r="E11" t="s">
        <v>16</v>
      </c>
      <c r="F11" t="s">
        <v>17</v>
      </c>
      <c r="G11" t="s">
        <v>18</v>
      </c>
      <c r="H11">
        <v>8.56</v>
      </c>
      <c r="I11">
        <v>2</v>
      </c>
      <c r="J11">
        <v>0</v>
      </c>
      <c r="K11">
        <v>2.4823999999999993</v>
      </c>
      <c r="P11">
        <v>2011</v>
      </c>
      <c r="Q11">
        <v>2011</v>
      </c>
      <c r="R11">
        <v>16.010999999999981</v>
      </c>
    </row>
    <row r="12" spans="1:18" x14ac:dyDescent="0.25">
      <c r="A12">
        <f>YEAR([1]Data!$D21)</f>
        <v>2011</v>
      </c>
      <c r="B12" s="5">
        <v>40782</v>
      </c>
      <c r="C12" s="5">
        <v>40787</v>
      </c>
      <c r="D12" t="s">
        <v>11</v>
      </c>
      <c r="E12" t="s">
        <v>16</v>
      </c>
      <c r="F12" t="s">
        <v>17</v>
      </c>
      <c r="G12" t="s">
        <v>20</v>
      </c>
      <c r="H12">
        <v>213.48000000000002</v>
      </c>
      <c r="I12">
        <v>3</v>
      </c>
      <c r="J12">
        <v>0.2</v>
      </c>
      <c r="K12">
        <v>16.010999999999981</v>
      </c>
      <c r="P12">
        <v>2011</v>
      </c>
      <c r="Q12">
        <v>2011</v>
      </c>
      <c r="R12">
        <v>7.3839999999999986</v>
      </c>
    </row>
    <row r="13" spans="1:18" x14ac:dyDescent="0.25">
      <c r="A13">
        <f>YEAR([1]Data!$D22)</f>
        <v>2011</v>
      </c>
      <c r="B13" s="5">
        <v>40782</v>
      </c>
      <c r="C13" s="5">
        <v>40787</v>
      </c>
      <c r="D13" t="s">
        <v>11</v>
      </c>
      <c r="E13" t="s">
        <v>16</v>
      </c>
      <c r="F13" t="s">
        <v>17</v>
      </c>
      <c r="G13" t="s">
        <v>18</v>
      </c>
      <c r="H13">
        <v>22.72</v>
      </c>
      <c r="I13">
        <v>4</v>
      </c>
      <c r="J13">
        <v>0.2</v>
      </c>
      <c r="K13">
        <v>7.3839999999999986</v>
      </c>
      <c r="P13">
        <v>2011</v>
      </c>
      <c r="Q13">
        <v>2011</v>
      </c>
      <c r="R13">
        <v>4.1720000000000006</v>
      </c>
    </row>
    <row r="14" spans="1:18" x14ac:dyDescent="0.25">
      <c r="A14">
        <f>YEAR([1]Data!$D48)</f>
        <v>2011</v>
      </c>
      <c r="B14" s="5">
        <v>40836</v>
      </c>
      <c r="C14" s="5">
        <v>40841</v>
      </c>
      <c r="D14" t="s">
        <v>11</v>
      </c>
      <c r="E14" t="s">
        <v>33</v>
      </c>
      <c r="F14" t="s">
        <v>25</v>
      </c>
      <c r="G14" t="s">
        <v>18</v>
      </c>
      <c r="H14">
        <v>211.96</v>
      </c>
      <c r="I14">
        <v>4</v>
      </c>
      <c r="J14">
        <v>0</v>
      </c>
      <c r="K14">
        <v>8.4783999999999935</v>
      </c>
      <c r="P14">
        <v>2011</v>
      </c>
      <c r="Q14">
        <v>2011</v>
      </c>
      <c r="R14">
        <v>6.2030999999999992</v>
      </c>
    </row>
    <row r="15" spans="1:18" x14ac:dyDescent="0.25">
      <c r="A15">
        <f>YEAR([1]Data!$D69)</f>
        <v>2011</v>
      </c>
      <c r="B15" s="5">
        <v>40882</v>
      </c>
      <c r="C15" s="5">
        <v>40887</v>
      </c>
      <c r="D15" t="s">
        <v>15</v>
      </c>
      <c r="E15" t="s">
        <v>37</v>
      </c>
      <c r="F15" t="s">
        <v>17</v>
      </c>
      <c r="G15" t="s">
        <v>18</v>
      </c>
      <c r="H15">
        <v>1113.0240000000001</v>
      </c>
      <c r="I15">
        <v>8</v>
      </c>
      <c r="J15">
        <v>0.2</v>
      </c>
      <c r="K15">
        <v>111.30239999999998</v>
      </c>
      <c r="P15">
        <v>2011</v>
      </c>
      <c r="Q15">
        <v>2011</v>
      </c>
      <c r="R15">
        <v>8.4783999999999935</v>
      </c>
    </row>
    <row r="16" spans="1:18" x14ac:dyDescent="0.25">
      <c r="A16">
        <f>YEAR([1]Data!$D70)</f>
        <v>2011</v>
      </c>
      <c r="B16" s="5">
        <v>40882</v>
      </c>
      <c r="C16" s="5">
        <v>40887</v>
      </c>
      <c r="D16" t="s">
        <v>15</v>
      </c>
      <c r="E16" t="s">
        <v>37</v>
      </c>
      <c r="F16" t="s">
        <v>17</v>
      </c>
      <c r="G16" t="s">
        <v>20</v>
      </c>
      <c r="H16">
        <v>167.96800000000002</v>
      </c>
      <c r="I16">
        <v>4</v>
      </c>
      <c r="J16">
        <v>0.2</v>
      </c>
      <c r="K16">
        <v>62.988</v>
      </c>
      <c r="P16">
        <v>2011</v>
      </c>
      <c r="Q16">
        <v>2011</v>
      </c>
      <c r="R16">
        <v>13.317599999999999</v>
      </c>
    </row>
    <row r="17" spans="1:18" x14ac:dyDescent="0.25">
      <c r="A17">
        <f>YEAR([1]Data!$D80)</f>
        <v>2011</v>
      </c>
      <c r="B17" s="5">
        <v>40873</v>
      </c>
      <c r="C17" s="5">
        <v>40878</v>
      </c>
      <c r="D17" t="s">
        <v>11</v>
      </c>
      <c r="E17" t="s">
        <v>24</v>
      </c>
      <c r="F17" t="s">
        <v>25</v>
      </c>
      <c r="G17" t="s">
        <v>14</v>
      </c>
      <c r="H17">
        <v>19.3</v>
      </c>
      <c r="I17">
        <v>5</v>
      </c>
      <c r="J17">
        <v>0.6</v>
      </c>
      <c r="K17">
        <v>-14.475000000000001</v>
      </c>
      <c r="P17">
        <v>2011</v>
      </c>
      <c r="Q17">
        <v>2011</v>
      </c>
      <c r="R17">
        <v>-14.475000000000001</v>
      </c>
    </row>
    <row r="18" spans="1:18" x14ac:dyDescent="0.25">
      <c r="A18">
        <f>YEAR([1]Data!$D83)</f>
        <v>2011</v>
      </c>
      <c r="B18" s="5">
        <v>40828</v>
      </c>
      <c r="C18" s="5">
        <v>40832</v>
      </c>
      <c r="D18" t="s">
        <v>11</v>
      </c>
      <c r="E18" t="s">
        <v>16</v>
      </c>
      <c r="F18" t="s">
        <v>17</v>
      </c>
      <c r="G18" t="s">
        <v>18</v>
      </c>
      <c r="H18">
        <v>14.9</v>
      </c>
      <c r="I18">
        <v>5</v>
      </c>
      <c r="J18">
        <v>0</v>
      </c>
      <c r="K18">
        <v>4.1720000000000006</v>
      </c>
      <c r="P18">
        <v>2011</v>
      </c>
      <c r="Q18">
        <v>2011</v>
      </c>
      <c r="R18">
        <v>111.30239999999998</v>
      </c>
    </row>
    <row r="19" spans="1:18" x14ac:dyDescent="0.25">
      <c r="A19">
        <f>YEAR([1]Data!$D84)</f>
        <v>2011</v>
      </c>
      <c r="B19" s="5">
        <v>40828</v>
      </c>
      <c r="C19" s="5">
        <v>40832</v>
      </c>
      <c r="D19" t="s">
        <v>11</v>
      </c>
      <c r="E19" t="s">
        <v>16</v>
      </c>
      <c r="F19" t="s">
        <v>17</v>
      </c>
      <c r="G19" t="s">
        <v>18</v>
      </c>
      <c r="H19">
        <v>21.39</v>
      </c>
      <c r="I19">
        <v>1</v>
      </c>
      <c r="J19">
        <v>0</v>
      </c>
      <c r="K19">
        <v>6.2030999999999992</v>
      </c>
      <c r="P19">
        <v>2011</v>
      </c>
      <c r="Q19">
        <v>2011</v>
      </c>
      <c r="R19">
        <v>62.988</v>
      </c>
    </row>
    <row r="20" spans="1:18" x14ac:dyDescent="0.25">
      <c r="A20">
        <f>YEAR([1]Data!$D5)</f>
        <v>2012</v>
      </c>
      <c r="B20" s="5">
        <v>41193</v>
      </c>
      <c r="C20" s="5">
        <v>41200</v>
      </c>
      <c r="D20" t="s">
        <v>11</v>
      </c>
      <c r="E20" t="s">
        <v>19</v>
      </c>
      <c r="F20" t="s">
        <v>13</v>
      </c>
      <c r="G20" t="s">
        <v>14</v>
      </c>
      <c r="H20">
        <v>957.57749999999999</v>
      </c>
      <c r="I20">
        <v>5</v>
      </c>
      <c r="J20">
        <v>0.45</v>
      </c>
      <c r="K20">
        <v>-383.03100000000006</v>
      </c>
      <c r="P20">
        <v>2012</v>
      </c>
      <c r="Q20">
        <v>2012</v>
      </c>
      <c r="R20">
        <v>6.2208000000000006</v>
      </c>
    </row>
    <row r="21" spans="1:18" x14ac:dyDescent="0.25">
      <c r="A21">
        <f>YEAR([1]Data!$D6)</f>
        <v>2012</v>
      </c>
      <c r="B21" s="5">
        <v>41193</v>
      </c>
      <c r="C21" s="5">
        <v>41200</v>
      </c>
      <c r="D21" t="s">
        <v>11</v>
      </c>
      <c r="E21" t="s">
        <v>19</v>
      </c>
      <c r="F21" t="s">
        <v>13</v>
      </c>
      <c r="G21" t="s">
        <v>18</v>
      </c>
      <c r="H21">
        <v>22.368000000000002</v>
      </c>
      <c r="I21">
        <v>2</v>
      </c>
      <c r="J21">
        <v>0.2</v>
      </c>
      <c r="K21">
        <v>2.5163999999999991</v>
      </c>
      <c r="P21">
        <v>2012</v>
      </c>
      <c r="Q21">
        <v>2012</v>
      </c>
      <c r="R21">
        <v>16.535399999999996</v>
      </c>
    </row>
    <row r="22" spans="1:18" x14ac:dyDescent="0.25">
      <c r="A22">
        <f>YEAR([1]Data!$D16)</f>
        <v>2012</v>
      </c>
      <c r="B22" s="5">
        <v>41235</v>
      </c>
      <c r="C22" s="5">
        <v>41239</v>
      </c>
      <c r="D22" t="s">
        <v>23</v>
      </c>
      <c r="E22" t="s">
        <v>24</v>
      </c>
      <c r="F22" t="s">
        <v>25</v>
      </c>
      <c r="G22" t="s">
        <v>18</v>
      </c>
      <c r="H22">
        <v>68.809999999999988</v>
      </c>
      <c r="I22">
        <v>5</v>
      </c>
      <c r="J22">
        <v>0.8</v>
      </c>
      <c r="K22">
        <v>-123.858</v>
      </c>
      <c r="P22">
        <v>2012</v>
      </c>
      <c r="Q22">
        <v>2012</v>
      </c>
      <c r="R22">
        <v>16.150400000000001</v>
      </c>
    </row>
    <row r="23" spans="1:18" x14ac:dyDescent="0.25">
      <c r="A23">
        <f>YEAR([1]Data!$D17)</f>
        <v>2012</v>
      </c>
      <c r="B23" s="5">
        <v>41235</v>
      </c>
      <c r="C23" s="5">
        <v>41239</v>
      </c>
      <c r="D23" t="s">
        <v>23</v>
      </c>
      <c r="E23" t="s">
        <v>24</v>
      </c>
      <c r="F23" t="s">
        <v>25</v>
      </c>
      <c r="G23" t="s">
        <v>18</v>
      </c>
      <c r="H23">
        <v>2.5439999999999996</v>
      </c>
      <c r="I23">
        <v>3</v>
      </c>
      <c r="J23">
        <v>0.8</v>
      </c>
      <c r="K23">
        <v>-3.8160000000000016</v>
      </c>
      <c r="P23">
        <v>2012</v>
      </c>
      <c r="Q23">
        <v>2012</v>
      </c>
      <c r="R23">
        <v>17.9634</v>
      </c>
    </row>
    <row r="24" spans="1:18" x14ac:dyDescent="0.25">
      <c r="A24">
        <f>YEAR([1]Data!$D26)</f>
        <v>2012</v>
      </c>
      <c r="B24" s="5">
        <v>41177</v>
      </c>
      <c r="C24" s="5">
        <v>41182</v>
      </c>
      <c r="D24" t="s">
        <v>11</v>
      </c>
      <c r="E24" t="s">
        <v>27</v>
      </c>
      <c r="F24" t="s">
        <v>17</v>
      </c>
      <c r="G24" t="s">
        <v>14</v>
      </c>
      <c r="H24">
        <v>1044.6299999999999</v>
      </c>
      <c r="I24">
        <v>3</v>
      </c>
      <c r="J24">
        <v>0</v>
      </c>
      <c r="K24">
        <v>240.26490000000001</v>
      </c>
      <c r="P24">
        <v>2012</v>
      </c>
      <c r="Q24">
        <v>2012</v>
      </c>
      <c r="R24">
        <v>35.334599999999995</v>
      </c>
    </row>
    <row r="25" spans="1:18" x14ac:dyDescent="0.25">
      <c r="A25">
        <f>YEAR([1]Data!$D29)</f>
        <v>2012</v>
      </c>
      <c r="B25" s="5">
        <v>41169</v>
      </c>
      <c r="C25" s="5">
        <v>41173</v>
      </c>
      <c r="D25" t="s">
        <v>11</v>
      </c>
      <c r="E25" t="s">
        <v>29</v>
      </c>
      <c r="F25" t="s">
        <v>30</v>
      </c>
      <c r="G25" t="s">
        <v>14</v>
      </c>
      <c r="H25">
        <v>3083.4300000000003</v>
      </c>
      <c r="I25">
        <v>7</v>
      </c>
      <c r="J25">
        <v>0.5</v>
      </c>
      <c r="K25">
        <v>-1665.0522000000001</v>
      </c>
      <c r="P25">
        <v>2012</v>
      </c>
      <c r="Q25">
        <v>2012</v>
      </c>
      <c r="R25">
        <v>2.9567999999999999</v>
      </c>
    </row>
    <row r="26" spans="1:18" x14ac:dyDescent="0.25">
      <c r="A26">
        <f>YEAR([1]Data!$D30)</f>
        <v>2012</v>
      </c>
      <c r="B26" s="5">
        <v>41169</v>
      </c>
      <c r="C26" s="5">
        <v>41173</v>
      </c>
      <c r="D26" t="s">
        <v>11</v>
      </c>
      <c r="E26" t="s">
        <v>29</v>
      </c>
      <c r="F26" t="s">
        <v>30</v>
      </c>
      <c r="G26" t="s">
        <v>18</v>
      </c>
      <c r="H26">
        <v>9.6180000000000021</v>
      </c>
      <c r="I26">
        <v>2</v>
      </c>
      <c r="J26">
        <v>0.7</v>
      </c>
      <c r="K26">
        <v>-7.0532000000000004</v>
      </c>
      <c r="P26">
        <v>2012</v>
      </c>
      <c r="Q26">
        <v>2012</v>
      </c>
      <c r="R26">
        <v>17.098099999999988</v>
      </c>
    </row>
    <row r="27" spans="1:18" x14ac:dyDescent="0.25">
      <c r="A27">
        <f>YEAR([1]Data!$D31)</f>
        <v>2012</v>
      </c>
      <c r="B27" s="5">
        <v>41169</v>
      </c>
      <c r="C27" s="5">
        <v>41173</v>
      </c>
      <c r="D27" t="s">
        <v>11</v>
      </c>
      <c r="E27" t="s">
        <v>29</v>
      </c>
      <c r="F27" t="s">
        <v>30</v>
      </c>
      <c r="G27" t="s">
        <v>14</v>
      </c>
      <c r="H27">
        <v>124.20000000000002</v>
      </c>
      <c r="I27">
        <v>3</v>
      </c>
      <c r="J27">
        <v>0.2</v>
      </c>
      <c r="K27">
        <v>15.524999999999991</v>
      </c>
      <c r="P27">
        <v>2012</v>
      </c>
      <c r="Q27">
        <v>2012</v>
      </c>
      <c r="R27">
        <v>-114.39120000000003</v>
      </c>
    </row>
    <row r="28" spans="1:18" x14ac:dyDescent="0.25">
      <c r="A28">
        <f>YEAR([1]Data!$D32)</f>
        <v>2012</v>
      </c>
      <c r="B28" s="5">
        <v>41169</v>
      </c>
      <c r="C28" s="5">
        <v>41173</v>
      </c>
      <c r="D28" t="s">
        <v>11</v>
      </c>
      <c r="E28" t="s">
        <v>29</v>
      </c>
      <c r="F28" t="s">
        <v>30</v>
      </c>
      <c r="G28" t="s">
        <v>18</v>
      </c>
      <c r="H28">
        <v>3.2640000000000002</v>
      </c>
      <c r="I28">
        <v>2</v>
      </c>
      <c r="J28">
        <v>0.2</v>
      </c>
      <c r="K28">
        <v>1.1015999999999997</v>
      </c>
      <c r="P28">
        <v>2012</v>
      </c>
      <c r="Q28">
        <v>2012</v>
      </c>
      <c r="R28">
        <v>1.2129999999999974</v>
      </c>
    </row>
    <row r="29" spans="1:18" x14ac:dyDescent="0.25">
      <c r="A29">
        <f>YEAR([1]Data!$D33)</f>
        <v>2012</v>
      </c>
      <c r="B29" s="5">
        <v>41169</v>
      </c>
      <c r="C29" s="5">
        <v>41173</v>
      </c>
      <c r="D29" t="s">
        <v>11</v>
      </c>
      <c r="E29" t="s">
        <v>29</v>
      </c>
      <c r="F29" t="s">
        <v>30</v>
      </c>
      <c r="G29" t="s">
        <v>18</v>
      </c>
      <c r="H29">
        <v>86.304000000000002</v>
      </c>
      <c r="I29">
        <v>6</v>
      </c>
      <c r="J29">
        <v>0.2</v>
      </c>
      <c r="K29">
        <v>9.7091999999999885</v>
      </c>
      <c r="P29">
        <v>2012</v>
      </c>
      <c r="Q29">
        <v>2012</v>
      </c>
      <c r="R29">
        <v>-18.196000000000002</v>
      </c>
    </row>
    <row r="30" spans="1:18" x14ac:dyDescent="0.25">
      <c r="A30">
        <f>YEAR([1]Data!$D34)</f>
        <v>2012</v>
      </c>
      <c r="B30" s="5">
        <v>41169</v>
      </c>
      <c r="C30" s="5">
        <v>41173</v>
      </c>
      <c r="D30" t="s">
        <v>11</v>
      </c>
      <c r="E30" t="s">
        <v>29</v>
      </c>
      <c r="F30" t="s">
        <v>30</v>
      </c>
      <c r="G30" t="s">
        <v>18</v>
      </c>
      <c r="H30">
        <v>6.8580000000000014</v>
      </c>
      <c r="I30">
        <v>6</v>
      </c>
      <c r="J30">
        <v>0.7</v>
      </c>
      <c r="K30">
        <v>-5.7149999999999999</v>
      </c>
      <c r="P30">
        <v>2012</v>
      </c>
      <c r="Q30">
        <v>2012</v>
      </c>
      <c r="R30">
        <v>-15.222500000000011</v>
      </c>
    </row>
    <row r="31" spans="1:18" x14ac:dyDescent="0.25">
      <c r="A31">
        <f>YEAR([1]Data!$D35)</f>
        <v>2012</v>
      </c>
      <c r="B31" s="5">
        <v>41169</v>
      </c>
      <c r="C31" s="5">
        <v>41173</v>
      </c>
      <c r="D31" t="s">
        <v>11</v>
      </c>
      <c r="E31" t="s">
        <v>29</v>
      </c>
      <c r="F31" t="s">
        <v>30</v>
      </c>
      <c r="G31" t="s">
        <v>18</v>
      </c>
      <c r="H31">
        <v>15.76</v>
      </c>
      <c r="I31">
        <v>2</v>
      </c>
      <c r="J31">
        <v>0.2</v>
      </c>
      <c r="K31">
        <v>3.5460000000000007</v>
      </c>
      <c r="P31">
        <v>2012</v>
      </c>
      <c r="Q31">
        <v>2012</v>
      </c>
      <c r="R31">
        <v>62.807499999999976</v>
      </c>
    </row>
    <row r="32" spans="1:18" x14ac:dyDescent="0.25">
      <c r="A32">
        <f>YEAR([1]Data!$D39)</f>
        <v>2012</v>
      </c>
      <c r="B32" s="5">
        <v>41270</v>
      </c>
      <c r="C32" s="5">
        <v>41274</v>
      </c>
      <c r="D32" t="s">
        <v>23</v>
      </c>
      <c r="E32" t="s">
        <v>24</v>
      </c>
      <c r="F32" t="s">
        <v>25</v>
      </c>
      <c r="G32" t="s">
        <v>18</v>
      </c>
      <c r="H32">
        <v>113.328</v>
      </c>
      <c r="I32">
        <v>9</v>
      </c>
      <c r="J32">
        <v>0.2</v>
      </c>
      <c r="K32">
        <v>35.414999999999999</v>
      </c>
      <c r="P32">
        <v>2012</v>
      </c>
      <c r="Q32">
        <v>2012</v>
      </c>
      <c r="R32">
        <v>-1665.0522000000001</v>
      </c>
    </row>
    <row r="33" spans="1:18" x14ac:dyDescent="0.25">
      <c r="A33">
        <f>YEAR([1]Data!$D40)</f>
        <v>2012</v>
      </c>
      <c r="B33" s="5">
        <v>41270</v>
      </c>
      <c r="C33" s="5">
        <v>41274</v>
      </c>
      <c r="D33" t="s">
        <v>23</v>
      </c>
      <c r="E33" t="s">
        <v>24</v>
      </c>
      <c r="F33" t="s">
        <v>25</v>
      </c>
      <c r="G33" t="s">
        <v>14</v>
      </c>
      <c r="H33">
        <v>532.39919999999995</v>
      </c>
      <c r="I33">
        <v>3</v>
      </c>
      <c r="J33">
        <v>0.32</v>
      </c>
      <c r="K33">
        <v>-46.976400000000012</v>
      </c>
      <c r="P33">
        <v>2012</v>
      </c>
      <c r="Q33">
        <v>2012</v>
      </c>
      <c r="R33">
        <v>-7.0532000000000004</v>
      </c>
    </row>
    <row r="34" spans="1:18" x14ac:dyDescent="0.25">
      <c r="A34">
        <f>YEAR([1]Data!$D41)</f>
        <v>2012</v>
      </c>
      <c r="B34" s="5">
        <v>41270</v>
      </c>
      <c r="C34" s="5">
        <v>41274</v>
      </c>
      <c r="D34" t="s">
        <v>23</v>
      </c>
      <c r="E34" t="s">
        <v>24</v>
      </c>
      <c r="F34" t="s">
        <v>25</v>
      </c>
      <c r="G34" t="s">
        <v>14</v>
      </c>
      <c r="H34">
        <v>212.05799999999999</v>
      </c>
      <c r="I34">
        <v>3</v>
      </c>
      <c r="J34">
        <v>0.3</v>
      </c>
      <c r="K34">
        <v>-15.146999999999991</v>
      </c>
      <c r="P34">
        <v>2012</v>
      </c>
      <c r="Q34">
        <v>2012</v>
      </c>
      <c r="R34">
        <v>15.524999999999991</v>
      </c>
    </row>
    <row r="35" spans="1:18" x14ac:dyDescent="0.25">
      <c r="A35">
        <f>YEAR([1]Data!$D42)</f>
        <v>2012</v>
      </c>
      <c r="B35" s="5">
        <v>41270</v>
      </c>
      <c r="C35" s="5">
        <v>41274</v>
      </c>
      <c r="D35" t="s">
        <v>23</v>
      </c>
      <c r="E35" t="s">
        <v>24</v>
      </c>
      <c r="F35" t="s">
        <v>25</v>
      </c>
      <c r="G35" t="s">
        <v>20</v>
      </c>
      <c r="H35">
        <v>371.16800000000001</v>
      </c>
      <c r="I35">
        <v>4</v>
      </c>
      <c r="J35">
        <v>0.2</v>
      </c>
      <c r="K35">
        <v>41.756399999999957</v>
      </c>
      <c r="P35">
        <v>2012</v>
      </c>
      <c r="Q35">
        <v>2012</v>
      </c>
      <c r="R35">
        <v>1.1015999999999997</v>
      </c>
    </row>
    <row r="36" spans="1:18" x14ac:dyDescent="0.25">
      <c r="A36">
        <f>YEAR([1]Data!$D51)</f>
        <v>2012</v>
      </c>
      <c r="B36" s="5">
        <v>41017</v>
      </c>
      <c r="C36" s="5">
        <v>41021</v>
      </c>
      <c r="D36" t="s">
        <v>11</v>
      </c>
      <c r="E36" t="s">
        <v>35</v>
      </c>
      <c r="F36" t="s">
        <v>25</v>
      </c>
      <c r="G36" t="s">
        <v>18</v>
      </c>
      <c r="H36">
        <v>38.22</v>
      </c>
      <c r="I36">
        <v>6</v>
      </c>
      <c r="J36">
        <v>0</v>
      </c>
      <c r="K36">
        <v>17.9634</v>
      </c>
      <c r="P36">
        <v>2012</v>
      </c>
      <c r="Q36">
        <v>2012</v>
      </c>
      <c r="R36">
        <v>9.7091999999999885</v>
      </c>
    </row>
    <row r="37" spans="1:18" x14ac:dyDescent="0.25">
      <c r="A37">
        <f>YEAR([1]Data!$D52)</f>
        <v>2012</v>
      </c>
      <c r="B37" s="5">
        <v>41017</v>
      </c>
      <c r="C37" s="5">
        <v>41021</v>
      </c>
      <c r="D37" t="s">
        <v>11</v>
      </c>
      <c r="E37" t="s">
        <v>35</v>
      </c>
      <c r="F37" t="s">
        <v>25</v>
      </c>
      <c r="G37" t="s">
        <v>18</v>
      </c>
      <c r="H37">
        <v>75.179999999999993</v>
      </c>
      <c r="I37">
        <v>6</v>
      </c>
      <c r="J37">
        <v>0</v>
      </c>
      <c r="K37">
        <v>35.334599999999995</v>
      </c>
      <c r="P37">
        <v>2012</v>
      </c>
      <c r="Q37">
        <v>2012</v>
      </c>
      <c r="R37">
        <v>-5.7149999999999999</v>
      </c>
    </row>
    <row r="38" spans="1:18" x14ac:dyDescent="0.25">
      <c r="A38">
        <f>YEAR([1]Data!$D53)</f>
        <v>2012</v>
      </c>
      <c r="B38" s="5">
        <v>41017</v>
      </c>
      <c r="C38" s="5">
        <v>41021</v>
      </c>
      <c r="D38" t="s">
        <v>11</v>
      </c>
      <c r="E38" t="s">
        <v>35</v>
      </c>
      <c r="F38" t="s">
        <v>25</v>
      </c>
      <c r="G38" t="s">
        <v>14</v>
      </c>
      <c r="H38">
        <v>6.16</v>
      </c>
      <c r="I38">
        <v>2</v>
      </c>
      <c r="J38">
        <v>0</v>
      </c>
      <c r="K38">
        <v>2.9567999999999999</v>
      </c>
      <c r="P38">
        <v>2012</v>
      </c>
      <c r="Q38">
        <v>2012</v>
      </c>
      <c r="R38">
        <v>3.5460000000000007</v>
      </c>
    </row>
    <row r="39" spans="1:18" x14ac:dyDescent="0.25">
      <c r="A39">
        <f>YEAR([1]Data!$D54)</f>
        <v>2012</v>
      </c>
      <c r="B39" s="5">
        <v>41017</v>
      </c>
      <c r="C39" s="5">
        <v>41021</v>
      </c>
      <c r="D39" t="s">
        <v>11</v>
      </c>
      <c r="E39" t="s">
        <v>35</v>
      </c>
      <c r="F39" t="s">
        <v>25</v>
      </c>
      <c r="G39" t="s">
        <v>14</v>
      </c>
      <c r="H39">
        <v>89.99</v>
      </c>
      <c r="I39">
        <v>1</v>
      </c>
      <c r="J39">
        <v>0</v>
      </c>
      <c r="K39">
        <v>17.098099999999988</v>
      </c>
      <c r="P39">
        <v>2012</v>
      </c>
      <c r="Q39">
        <v>2012</v>
      </c>
      <c r="R39">
        <v>240.26490000000001</v>
      </c>
    </row>
    <row r="40" spans="1:18" x14ac:dyDescent="0.25">
      <c r="A40">
        <f>YEAR([1]Data!$D64)</f>
        <v>2012</v>
      </c>
      <c r="B40" s="5">
        <v>41237</v>
      </c>
      <c r="C40" s="5">
        <v>41243</v>
      </c>
      <c r="D40" t="s">
        <v>11</v>
      </c>
      <c r="E40" t="s">
        <v>16</v>
      </c>
      <c r="F40" t="s">
        <v>17</v>
      </c>
      <c r="G40" t="s">
        <v>20</v>
      </c>
      <c r="H40">
        <v>13.98</v>
      </c>
      <c r="I40">
        <v>2</v>
      </c>
      <c r="J40">
        <v>0</v>
      </c>
      <c r="K40">
        <v>6.1512000000000011</v>
      </c>
      <c r="P40">
        <v>2012</v>
      </c>
      <c r="Q40">
        <v>2012</v>
      </c>
      <c r="R40">
        <v>-383.03100000000006</v>
      </c>
    </row>
    <row r="41" spans="1:18" x14ac:dyDescent="0.25">
      <c r="A41">
        <f>YEAR([1]Data!$D65)</f>
        <v>2012</v>
      </c>
      <c r="B41" s="5">
        <v>41237</v>
      </c>
      <c r="C41" s="5">
        <v>41243</v>
      </c>
      <c r="D41" t="s">
        <v>11</v>
      </c>
      <c r="E41" t="s">
        <v>16</v>
      </c>
      <c r="F41" t="s">
        <v>17</v>
      </c>
      <c r="G41" t="s">
        <v>18</v>
      </c>
      <c r="H41">
        <v>25.824000000000002</v>
      </c>
      <c r="I41">
        <v>6</v>
      </c>
      <c r="J41">
        <v>0.2</v>
      </c>
      <c r="K41">
        <v>9.3612000000000002</v>
      </c>
      <c r="P41">
        <v>2012</v>
      </c>
      <c r="Q41">
        <v>2012</v>
      </c>
      <c r="R41">
        <v>2.5163999999999991</v>
      </c>
    </row>
    <row r="42" spans="1:18" x14ac:dyDescent="0.25">
      <c r="A42">
        <f>YEAR([1]Data!$D66)</f>
        <v>2012</v>
      </c>
      <c r="B42" s="5">
        <v>41237</v>
      </c>
      <c r="C42" s="5">
        <v>41243</v>
      </c>
      <c r="D42" t="s">
        <v>11</v>
      </c>
      <c r="E42" t="s">
        <v>16</v>
      </c>
      <c r="F42" t="s">
        <v>17</v>
      </c>
      <c r="G42" t="s">
        <v>18</v>
      </c>
      <c r="H42">
        <v>146.72999999999999</v>
      </c>
      <c r="I42">
        <v>3</v>
      </c>
      <c r="J42">
        <v>0</v>
      </c>
      <c r="K42">
        <v>68.963099999999997</v>
      </c>
      <c r="P42">
        <v>2012</v>
      </c>
      <c r="Q42">
        <v>2012</v>
      </c>
      <c r="R42">
        <v>-123.858</v>
      </c>
    </row>
    <row r="43" spans="1:18" x14ac:dyDescent="0.25">
      <c r="A43">
        <f>YEAR([1]Data!$D67)</f>
        <v>2012</v>
      </c>
      <c r="B43" s="5">
        <v>41237</v>
      </c>
      <c r="C43" s="5">
        <v>41243</v>
      </c>
      <c r="D43" t="s">
        <v>11</v>
      </c>
      <c r="E43" t="s">
        <v>16</v>
      </c>
      <c r="F43" t="s">
        <v>17</v>
      </c>
      <c r="G43" t="s">
        <v>14</v>
      </c>
      <c r="H43">
        <v>79.760000000000005</v>
      </c>
      <c r="I43">
        <v>4</v>
      </c>
      <c r="J43">
        <v>0</v>
      </c>
      <c r="K43">
        <v>22.332800000000006</v>
      </c>
      <c r="P43">
        <v>2012</v>
      </c>
      <c r="Q43">
        <v>2012</v>
      </c>
      <c r="R43">
        <v>-3.8160000000000016</v>
      </c>
    </row>
    <row r="44" spans="1:18" x14ac:dyDescent="0.25">
      <c r="A44">
        <f>YEAR([1]Data!$D68)</f>
        <v>2012</v>
      </c>
      <c r="B44" s="5">
        <v>41029</v>
      </c>
      <c r="C44" s="5">
        <v>41034</v>
      </c>
      <c r="D44" t="s">
        <v>23</v>
      </c>
      <c r="E44" t="s">
        <v>31</v>
      </c>
      <c r="F44" t="s">
        <v>25</v>
      </c>
      <c r="G44" t="s">
        <v>14</v>
      </c>
      <c r="H44">
        <v>213.11499999999998</v>
      </c>
      <c r="I44">
        <v>5</v>
      </c>
      <c r="J44">
        <v>0.3</v>
      </c>
      <c r="K44">
        <v>-15.222500000000011</v>
      </c>
      <c r="P44">
        <v>2012</v>
      </c>
      <c r="Q44">
        <v>2012</v>
      </c>
      <c r="R44">
        <v>6.1512000000000011</v>
      </c>
    </row>
    <row r="45" spans="1:18" x14ac:dyDescent="0.25">
      <c r="A45">
        <f>YEAR([1]Data!$D74)</f>
        <v>2012</v>
      </c>
      <c r="B45" s="5">
        <v>41025</v>
      </c>
      <c r="C45" s="5">
        <v>41031</v>
      </c>
      <c r="D45" t="s">
        <v>11</v>
      </c>
      <c r="E45" t="s">
        <v>39</v>
      </c>
      <c r="F45" t="s">
        <v>13</v>
      </c>
      <c r="G45" t="s">
        <v>14</v>
      </c>
      <c r="H45">
        <v>831.93600000000015</v>
      </c>
      <c r="I45">
        <v>8</v>
      </c>
      <c r="J45">
        <v>0.2</v>
      </c>
      <c r="K45">
        <v>-114.39120000000003</v>
      </c>
      <c r="P45">
        <v>2012</v>
      </c>
      <c r="Q45">
        <v>2012</v>
      </c>
      <c r="R45">
        <v>9.3612000000000002</v>
      </c>
    </row>
    <row r="46" spans="1:18" x14ac:dyDescent="0.25">
      <c r="A46">
        <f>YEAR([1]Data!$D75)</f>
        <v>2012</v>
      </c>
      <c r="B46" s="5">
        <v>41025</v>
      </c>
      <c r="C46" s="5">
        <v>41031</v>
      </c>
      <c r="D46" t="s">
        <v>11</v>
      </c>
      <c r="E46" t="s">
        <v>39</v>
      </c>
      <c r="F46" t="s">
        <v>13</v>
      </c>
      <c r="G46" t="s">
        <v>14</v>
      </c>
      <c r="H46">
        <v>97.04</v>
      </c>
      <c r="I46">
        <v>2</v>
      </c>
      <c r="J46">
        <v>0.2</v>
      </c>
      <c r="K46">
        <v>1.2129999999999974</v>
      </c>
      <c r="P46">
        <v>2012</v>
      </c>
      <c r="Q46">
        <v>2012</v>
      </c>
      <c r="R46">
        <v>68.963099999999997</v>
      </c>
    </row>
    <row r="47" spans="1:18" x14ac:dyDescent="0.25">
      <c r="A47">
        <f>YEAR([1]Data!$D76)</f>
        <v>2012</v>
      </c>
      <c r="B47" s="5">
        <v>41025</v>
      </c>
      <c r="C47" s="5">
        <v>41031</v>
      </c>
      <c r="D47" t="s">
        <v>11</v>
      </c>
      <c r="E47" t="s">
        <v>39</v>
      </c>
      <c r="F47" t="s">
        <v>13</v>
      </c>
      <c r="G47" t="s">
        <v>18</v>
      </c>
      <c r="H47">
        <v>72.784000000000006</v>
      </c>
      <c r="I47">
        <v>1</v>
      </c>
      <c r="J47">
        <v>0.2</v>
      </c>
      <c r="K47">
        <v>-18.196000000000002</v>
      </c>
      <c r="P47">
        <v>2012</v>
      </c>
      <c r="Q47">
        <v>2012</v>
      </c>
      <c r="R47">
        <v>22.332800000000006</v>
      </c>
    </row>
    <row r="48" spans="1:18" x14ac:dyDescent="0.25">
      <c r="A48">
        <f>YEAR([1]Data!$D85)</f>
        <v>2012</v>
      </c>
      <c r="B48" s="5">
        <v>41155</v>
      </c>
      <c r="C48" s="5">
        <v>41160</v>
      </c>
      <c r="D48" t="s">
        <v>15</v>
      </c>
      <c r="E48" t="s">
        <v>21</v>
      </c>
      <c r="F48" t="s">
        <v>13</v>
      </c>
      <c r="G48" t="s">
        <v>18</v>
      </c>
      <c r="H48">
        <v>200.98400000000004</v>
      </c>
      <c r="I48">
        <v>7</v>
      </c>
      <c r="J48">
        <v>0.2</v>
      </c>
      <c r="K48">
        <v>62.807499999999976</v>
      </c>
      <c r="P48">
        <v>2012</v>
      </c>
      <c r="Q48">
        <v>2012</v>
      </c>
      <c r="R48">
        <v>35.414999999999999</v>
      </c>
    </row>
    <row r="49" spans="1:18" x14ac:dyDescent="0.25">
      <c r="A49">
        <f>YEAR([1]Data!$D94)</f>
        <v>2012</v>
      </c>
      <c r="B49" s="5">
        <v>40939</v>
      </c>
      <c r="C49" s="5">
        <v>40944</v>
      </c>
      <c r="D49" t="s">
        <v>11</v>
      </c>
      <c r="E49" t="s">
        <v>32</v>
      </c>
      <c r="F49" t="s">
        <v>25</v>
      </c>
      <c r="G49" t="s">
        <v>18</v>
      </c>
      <c r="H49">
        <v>12.96</v>
      </c>
      <c r="I49">
        <v>2</v>
      </c>
      <c r="J49">
        <v>0</v>
      </c>
      <c r="K49">
        <v>6.2208000000000006</v>
      </c>
      <c r="P49">
        <v>2012</v>
      </c>
      <c r="Q49">
        <v>2012</v>
      </c>
      <c r="R49">
        <v>-46.976400000000012</v>
      </c>
    </row>
    <row r="50" spans="1:18" x14ac:dyDescent="0.25">
      <c r="A50">
        <f>YEAR([1]Data!$D95)</f>
        <v>2012</v>
      </c>
      <c r="B50" s="5">
        <v>40939</v>
      </c>
      <c r="C50" s="5">
        <v>40944</v>
      </c>
      <c r="D50" t="s">
        <v>11</v>
      </c>
      <c r="E50" t="s">
        <v>32</v>
      </c>
      <c r="F50" t="s">
        <v>25</v>
      </c>
      <c r="G50" t="s">
        <v>14</v>
      </c>
      <c r="H50">
        <v>53.34</v>
      </c>
      <c r="I50">
        <v>3</v>
      </c>
      <c r="J50">
        <v>0</v>
      </c>
      <c r="K50">
        <v>16.535399999999996</v>
      </c>
      <c r="P50">
        <v>2012</v>
      </c>
      <c r="Q50">
        <v>2012</v>
      </c>
      <c r="R50">
        <v>-15.146999999999991</v>
      </c>
    </row>
    <row r="51" spans="1:18" x14ac:dyDescent="0.25">
      <c r="A51">
        <f>YEAR([1]Data!$D96)</f>
        <v>2012</v>
      </c>
      <c r="B51" s="5">
        <v>40939</v>
      </c>
      <c r="C51" s="5">
        <v>40944</v>
      </c>
      <c r="D51" t="s">
        <v>11</v>
      </c>
      <c r="E51" t="s">
        <v>32</v>
      </c>
      <c r="F51" t="s">
        <v>25</v>
      </c>
      <c r="G51" t="s">
        <v>18</v>
      </c>
      <c r="H51">
        <v>32.96</v>
      </c>
      <c r="I51">
        <v>2</v>
      </c>
      <c r="J51">
        <v>0</v>
      </c>
      <c r="K51">
        <v>16.150400000000001</v>
      </c>
      <c r="P51">
        <v>2012</v>
      </c>
      <c r="Q51">
        <v>2012</v>
      </c>
      <c r="R51">
        <v>41.756399999999957</v>
      </c>
    </row>
    <row r="52" spans="1:18" x14ac:dyDescent="0.25">
      <c r="A52">
        <f>YEAR([1]Data!$D2)</f>
        <v>2013</v>
      </c>
      <c r="B52" s="5">
        <v>41587</v>
      </c>
      <c r="C52" s="5">
        <v>41590</v>
      </c>
      <c r="D52" t="s">
        <v>11</v>
      </c>
      <c r="E52" t="s">
        <v>12</v>
      </c>
      <c r="F52" t="s">
        <v>13</v>
      </c>
      <c r="G52" t="s">
        <v>14</v>
      </c>
      <c r="H52">
        <v>261.95999999999998</v>
      </c>
      <c r="I52">
        <v>2</v>
      </c>
      <c r="J52">
        <v>0</v>
      </c>
      <c r="K52">
        <v>41.913600000000002</v>
      </c>
      <c r="P52">
        <v>2013</v>
      </c>
      <c r="Q52">
        <v>2013</v>
      </c>
      <c r="R52">
        <v>4.2224000000000004</v>
      </c>
    </row>
    <row r="53" spans="1:18" x14ac:dyDescent="0.25">
      <c r="A53">
        <f>YEAR([1]Data!$D3)</f>
        <v>2013</v>
      </c>
      <c r="B53" s="5">
        <v>41587</v>
      </c>
      <c r="C53" s="5">
        <v>41590</v>
      </c>
      <c r="D53" t="s">
        <v>11</v>
      </c>
      <c r="E53" t="s">
        <v>12</v>
      </c>
      <c r="F53" t="s">
        <v>13</v>
      </c>
      <c r="G53" t="s">
        <v>14</v>
      </c>
      <c r="H53">
        <v>731.93999999999994</v>
      </c>
      <c r="I53">
        <v>3</v>
      </c>
      <c r="J53">
        <v>0</v>
      </c>
      <c r="K53">
        <v>219.58199999999997</v>
      </c>
      <c r="P53">
        <v>2013</v>
      </c>
      <c r="Q53">
        <v>2013</v>
      </c>
      <c r="R53">
        <v>11.774100000000004</v>
      </c>
    </row>
    <row r="54" spans="1:18" x14ac:dyDescent="0.25">
      <c r="A54">
        <f>YEAR([1]Data!$D4)</f>
        <v>2013</v>
      </c>
      <c r="B54" s="5">
        <v>41438</v>
      </c>
      <c r="C54" s="5">
        <v>41442</v>
      </c>
      <c r="D54" t="s">
        <v>15</v>
      </c>
      <c r="E54" t="s">
        <v>16</v>
      </c>
      <c r="F54" t="s">
        <v>17</v>
      </c>
      <c r="G54" t="s">
        <v>18</v>
      </c>
      <c r="H54">
        <v>14.62</v>
      </c>
      <c r="I54">
        <v>2</v>
      </c>
      <c r="J54">
        <v>0</v>
      </c>
      <c r="K54">
        <v>6.8713999999999995</v>
      </c>
      <c r="P54">
        <v>2013</v>
      </c>
      <c r="Q54">
        <v>2013</v>
      </c>
      <c r="R54">
        <v>19.7714</v>
      </c>
    </row>
    <row r="55" spans="1:18" x14ac:dyDescent="0.25">
      <c r="A55">
        <f>YEAR([1]Data!$D15)</f>
        <v>2013</v>
      </c>
      <c r="B55" s="5">
        <v>41614</v>
      </c>
      <c r="C55" s="5">
        <v>41619</v>
      </c>
      <c r="D55" t="s">
        <v>11</v>
      </c>
      <c r="E55" t="s">
        <v>22</v>
      </c>
      <c r="F55" t="s">
        <v>17</v>
      </c>
      <c r="G55" t="s">
        <v>18</v>
      </c>
      <c r="H55">
        <v>407.97600000000006</v>
      </c>
      <c r="I55">
        <v>3</v>
      </c>
      <c r="J55">
        <v>0.2</v>
      </c>
      <c r="K55">
        <v>132.59219999999993</v>
      </c>
      <c r="P55">
        <v>2013</v>
      </c>
      <c r="Q55">
        <v>2013</v>
      </c>
      <c r="R55">
        <v>8.2061999999999991</v>
      </c>
    </row>
    <row r="56" spans="1:18" x14ac:dyDescent="0.25">
      <c r="A56">
        <f>YEAR([1]Data!$D23)</f>
        <v>2013</v>
      </c>
      <c r="B56" s="5">
        <v>41618</v>
      </c>
      <c r="C56" s="5">
        <v>41622</v>
      </c>
      <c r="D56" t="s">
        <v>15</v>
      </c>
      <c r="E56" t="s">
        <v>28</v>
      </c>
      <c r="F56" t="s">
        <v>25</v>
      </c>
      <c r="G56" t="s">
        <v>18</v>
      </c>
      <c r="H56">
        <v>19.459999999999997</v>
      </c>
      <c r="I56">
        <v>7</v>
      </c>
      <c r="J56">
        <v>0</v>
      </c>
      <c r="K56">
        <v>5.0595999999999997</v>
      </c>
      <c r="P56">
        <v>2013</v>
      </c>
      <c r="Q56">
        <v>2013</v>
      </c>
      <c r="R56">
        <v>13.857199999999999</v>
      </c>
    </row>
    <row r="57" spans="1:18" x14ac:dyDescent="0.25">
      <c r="A57">
        <f>YEAR([1]Data!$D24)</f>
        <v>2013</v>
      </c>
      <c r="B57" s="5">
        <v>41618</v>
      </c>
      <c r="C57" s="5">
        <v>41622</v>
      </c>
      <c r="D57" t="s">
        <v>15</v>
      </c>
      <c r="E57" t="s">
        <v>28</v>
      </c>
      <c r="F57" t="s">
        <v>25</v>
      </c>
      <c r="G57" t="s">
        <v>18</v>
      </c>
      <c r="H57">
        <v>60.339999999999996</v>
      </c>
      <c r="I57">
        <v>7</v>
      </c>
      <c r="J57">
        <v>0</v>
      </c>
      <c r="K57">
        <v>15.688400000000001</v>
      </c>
      <c r="P57">
        <v>2013</v>
      </c>
      <c r="Q57">
        <v>2013</v>
      </c>
      <c r="R57">
        <v>35.663599999999995</v>
      </c>
    </row>
    <row r="58" spans="1:18" x14ac:dyDescent="0.25">
      <c r="A58">
        <f>YEAR([1]Data!$D27)</f>
        <v>2013</v>
      </c>
      <c r="B58" s="5">
        <v>41290</v>
      </c>
      <c r="C58" s="5">
        <v>41294</v>
      </c>
      <c r="D58" t="s">
        <v>11</v>
      </c>
      <c r="E58" t="s">
        <v>16</v>
      </c>
      <c r="F58" t="s">
        <v>17</v>
      </c>
      <c r="G58" t="s">
        <v>18</v>
      </c>
      <c r="H58">
        <v>11.648000000000001</v>
      </c>
      <c r="I58">
        <v>2</v>
      </c>
      <c r="J58">
        <v>0.2</v>
      </c>
      <c r="K58">
        <v>4.2224000000000004</v>
      </c>
      <c r="P58">
        <v>2013</v>
      </c>
      <c r="Q58">
        <v>2013</v>
      </c>
      <c r="R58">
        <v>6.8713999999999995</v>
      </c>
    </row>
    <row r="59" spans="1:18" x14ac:dyDescent="0.25">
      <c r="A59">
        <f>YEAR([1]Data!$D28)</f>
        <v>2013</v>
      </c>
      <c r="B59" s="5">
        <v>41290</v>
      </c>
      <c r="C59" s="5">
        <v>41294</v>
      </c>
      <c r="D59" t="s">
        <v>11</v>
      </c>
      <c r="E59" t="s">
        <v>16</v>
      </c>
      <c r="F59" t="s">
        <v>17</v>
      </c>
      <c r="G59" t="s">
        <v>20</v>
      </c>
      <c r="H59">
        <v>90.570000000000007</v>
      </c>
      <c r="I59">
        <v>3</v>
      </c>
      <c r="J59">
        <v>0</v>
      </c>
      <c r="K59">
        <v>11.774100000000004</v>
      </c>
      <c r="P59">
        <v>2013</v>
      </c>
      <c r="Q59">
        <v>2013</v>
      </c>
      <c r="R59">
        <v>56.20320000000001</v>
      </c>
    </row>
    <row r="60" spans="1:18" x14ac:dyDescent="0.25">
      <c r="A60">
        <f>YEAR([1]Data!$D37)</f>
        <v>2013</v>
      </c>
      <c r="B60" s="5">
        <v>41617</v>
      </c>
      <c r="C60" s="5">
        <v>41619</v>
      </c>
      <c r="D60" t="s">
        <v>15</v>
      </c>
      <c r="E60" t="s">
        <v>24</v>
      </c>
      <c r="F60" t="s">
        <v>25</v>
      </c>
      <c r="G60" t="s">
        <v>20</v>
      </c>
      <c r="H60">
        <v>1097.5440000000003</v>
      </c>
      <c r="I60">
        <v>7</v>
      </c>
      <c r="J60">
        <v>0.2</v>
      </c>
      <c r="K60">
        <v>123.47369999999989</v>
      </c>
      <c r="P60">
        <v>2013</v>
      </c>
      <c r="Q60">
        <v>2013</v>
      </c>
      <c r="R60">
        <v>8.0351999999999997</v>
      </c>
    </row>
    <row r="61" spans="1:18" x14ac:dyDescent="0.25">
      <c r="A61">
        <f>YEAR([1]Data!$D38)</f>
        <v>2013</v>
      </c>
      <c r="B61" s="5">
        <v>41617</v>
      </c>
      <c r="C61" s="5">
        <v>41619</v>
      </c>
      <c r="D61" t="s">
        <v>15</v>
      </c>
      <c r="E61" t="s">
        <v>24</v>
      </c>
      <c r="F61" t="s">
        <v>25</v>
      </c>
      <c r="G61" t="s">
        <v>14</v>
      </c>
      <c r="H61">
        <v>190.92</v>
      </c>
      <c r="I61">
        <v>5</v>
      </c>
      <c r="J61">
        <v>0.6</v>
      </c>
      <c r="K61">
        <v>-147.96300000000002</v>
      </c>
      <c r="P61">
        <v>2013</v>
      </c>
      <c r="Q61">
        <v>2013</v>
      </c>
      <c r="R61">
        <v>52.139999999999986</v>
      </c>
    </row>
    <row r="62" spans="1:18" x14ac:dyDescent="0.25">
      <c r="A62">
        <f>YEAR([1]Data!$D44)</f>
        <v>2013</v>
      </c>
      <c r="B62" s="5">
        <v>41473</v>
      </c>
      <c r="C62" s="5">
        <v>41478</v>
      </c>
      <c r="D62" t="s">
        <v>15</v>
      </c>
      <c r="E62" t="s">
        <v>16</v>
      </c>
      <c r="F62" t="s">
        <v>17</v>
      </c>
      <c r="G62" t="s">
        <v>18</v>
      </c>
      <c r="H62">
        <v>77.88</v>
      </c>
      <c r="I62">
        <v>2</v>
      </c>
      <c r="J62">
        <v>0</v>
      </c>
      <c r="K62">
        <v>3.8939999999999912</v>
      </c>
      <c r="P62">
        <v>2013</v>
      </c>
      <c r="Q62">
        <v>2013</v>
      </c>
      <c r="R62">
        <v>15.552000000000001</v>
      </c>
    </row>
    <row r="63" spans="1:18" x14ac:dyDescent="0.25">
      <c r="A63">
        <f>YEAR([1]Data!$D46)</f>
        <v>2013</v>
      </c>
      <c r="B63" s="5">
        <v>41345</v>
      </c>
      <c r="C63" s="5">
        <v>41347</v>
      </c>
      <c r="D63" t="s">
        <v>15</v>
      </c>
      <c r="E63" t="s">
        <v>32</v>
      </c>
      <c r="F63" t="s">
        <v>25</v>
      </c>
      <c r="G63" t="s">
        <v>20</v>
      </c>
      <c r="H63">
        <v>45.98</v>
      </c>
      <c r="I63">
        <v>2</v>
      </c>
      <c r="J63">
        <v>0</v>
      </c>
      <c r="K63">
        <v>19.7714</v>
      </c>
      <c r="P63">
        <v>2013</v>
      </c>
      <c r="Q63">
        <v>2013</v>
      </c>
      <c r="R63">
        <v>7.0980000000000061</v>
      </c>
    </row>
    <row r="64" spans="1:18" x14ac:dyDescent="0.25">
      <c r="A64">
        <f>YEAR([1]Data!$D47)</f>
        <v>2013</v>
      </c>
      <c r="B64" s="5">
        <v>41345</v>
      </c>
      <c r="C64" s="5">
        <v>41347</v>
      </c>
      <c r="D64" t="s">
        <v>15</v>
      </c>
      <c r="E64" t="s">
        <v>32</v>
      </c>
      <c r="F64" t="s">
        <v>25</v>
      </c>
      <c r="G64" t="s">
        <v>18</v>
      </c>
      <c r="H64">
        <v>17.46</v>
      </c>
      <c r="I64">
        <v>2</v>
      </c>
      <c r="J64">
        <v>0</v>
      </c>
      <c r="K64">
        <v>8.2061999999999991</v>
      </c>
      <c r="P64">
        <v>2013</v>
      </c>
      <c r="Q64">
        <v>2013</v>
      </c>
      <c r="R64">
        <v>6.9888000000000003</v>
      </c>
    </row>
    <row r="65" spans="1:18" x14ac:dyDescent="0.25">
      <c r="A65">
        <f>YEAR([1]Data!$D49)</f>
        <v>2013</v>
      </c>
      <c r="B65" s="5">
        <v>41446</v>
      </c>
      <c r="C65" s="5">
        <v>41451</v>
      </c>
      <c r="D65" t="s">
        <v>11</v>
      </c>
      <c r="E65" t="s">
        <v>34</v>
      </c>
      <c r="F65" t="s">
        <v>30</v>
      </c>
      <c r="G65" t="s">
        <v>20</v>
      </c>
      <c r="H65">
        <v>45</v>
      </c>
      <c r="I65">
        <v>3</v>
      </c>
      <c r="J65">
        <v>0</v>
      </c>
      <c r="K65">
        <v>4.9500000000000011</v>
      </c>
      <c r="P65">
        <v>2013</v>
      </c>
      <c r="Q65">
        <v>2013</v>
      </c>
      <c r="R65">
        <v>3.3000000000000007</v>
      </c>
    </row>
    <row r="66" spans="1:18" x14ac:dyDescent="0.25">
      <c r="A66">
        <f>YEAR([1]Data!$D50)</f>
        <v>2013</v>
      </c>
      <c r="B66" s="5">
        <v>41446</v>
      </c>
      <c r="C66" s="5">
        <v>41451</v>
      </c>
      <c r="D66" t="s">
        <v>11</v>
      </c>
      <c r="E66" t="s">
        <v>34</v>
      </c>
      <c r="F66" t="s">
        <v>30</v>
      </c>
      <c r="G66" t="s">
        <v>20</v>
      </c>
      <c r="H66">
        <v>21.8</v>
      </c>
      <c r="I66">
        <v>2</v>
      </c>
      <c r="J66">
        <v>0</v>
      </c>
      <c r="K66">
        <v>6.104000000000001</v>
      </c>
      <c r="P66">
        <v>2013</v>
      </c>
      <c r="Q66">
        <v>2013</v>
      </c>
      <c r="R66">
        <v>16.361999999999998</v>
      </c>
    </row>
    <row r="67" spans="1:18" x14ac:dyDescent="0.25">
      <c r="A67">
        <f>YEAR([1]Data!$D55)</f>
        <v>2013</v>
      </c>
      <c r="B67" s="5">
        <v>41620</v>
      </c>
      <c r="C67" s="5">
        <v>41626</v>
      </c>
      <c r="D67" t="s">
        <v>15</v>
      </c>
      <c r="E67" t="s">
        <v>36</v>
      </c>
      <c r="F67" t="s">
        <v>30</v>
      </c>
      <c r="G67" t="s">
        <v>18</v>
      </c>
      <c r="H67">
        <v>15.260000000000002</v>
      </c>
      <c r="I67">
        <v>7</v>
      </c>
      <c r="J67">
        <v>0</v>
      </c>
      <c r="K67">
        <v>6.2566000000000006</v>
      </c>
      <c r="P67">
        <v>2013</v>
      </c>
      <c r="Q67">
        <v>2013</v>
      </c>
      <c r="R67">
        <v>0.84</v>
      </c>
    </row>
    <row r="68" spans="1:18" x14ac:dyDescent="0.25">
      <c r="A68">
        <f>YEAR([1]Data!$D56)</f>
        <v>2013</v>
      </c>
      <c r="B68" s="5">
        <v>41620</v>
      </c>
      <c r="C68" s="5">
        <v>41626</v>
      </c>
      <c r="D68" t="s">
        <v>15</v>
      </c>
      <c r="E68" t="s">
        <v>36</v>
      </c>
      <c r="F68" t="s">
        <v>30</v>
      </c>
      <c r="G68" t="s">
        <v>20</v>
      </c>
      <c r="H68">
        <v>1029.95</v>
      </c>
      <c r="I68">
        <v>5</v>
      </c>
      <c r="J68">
        <v>0</v>
      </c>
      <c r="K68">
        <v>298.68549999999999</v>
      </c>
      <c r="P68">
        <v>2013</v>
      </c>
      <c r="Q68">
        <v>2013</v>
      </c>
      <c r="R68">
        <v>4.9500000000000011</v>
      </c>
    </row>
    <row r="69" spans="1:18" x14ac:dyDescent="0.25">
      <c r="A69">
        <f>YEAR([1]Data!$D57)</f>
        <v>2013</v>
      </c>
      <c r="B69" s="5">
        <v>41443</v>
      </c>
      <c r="C69" s="5">
        <v>41444</v>
      </c>
      <c r="D69" t="s">
        <v>11</v>
      </c>
      <c r="E69" t="s">
        <v>36</v>
      </c>
      <c r="F69" t="s">
        <v>30</v>
      </c>
      <c r="G69" t="s">
        <v>18</v>
      </c>
      <c r="H69">
        <v>208.56</v>
      </c>
      <c r="I69">
        <v>6</v>
      </c>
      <c r="J69">
        <v>0</v>
      </c>
      <c r="K69">
        <v>52.139999999999986</v>
      </c>
      <c r="P69">
        <v>2013</v>
      </c>
      <c r="Q69">
        <v>2013</v>
      </c>
      <c r="R69">
        <v>6.104000000000001</v>
      </c>
    </row>
    <row r="70" spans="1:18" x14ac:dyDescent="0.25">
      <c r="A70">
        <f>YEAR([1]Data!$D58)</f>
        <v>2013</v>
      </c>
      <c r="B70" s="5">
        <v>41443</v>
      </c>
      <c r="C70" s="5">
        <v>41444</v>
      </c>
      <c r="D70" t="s">
        <v>11</v>
      </c>
      <c r="E70" t="s">
        <v>36</v>
      </c>
      <c r="F70" t="s">
        <v>30</v>
      </c>
      <c r="G70" t="s">
        <v>18</v>
      </c>
      <c r="H70">
        <v>32.400000000000006</v>
      </c>
      <c r="I70">
        <v>5</v>
      </c>
      <c r="J70">
        <v>0</v>
      </c>
      <c r="K70">
        <v>15.552000000000001</v>
      </c>
      <c r="P70">
        <v>2013</v>
      </c>
      <c r="Q70">
        <v>2013</v>
      </c>
      <c r="R70">
        <v>3.8939999999999912</v>
      </c>
    </row>
    <row r="71" spans="1:18" x14ac:dyDescent="0.25">
      <c r="A71">
        <f>YEAR([1]Data!$D59)</f>
        <v>2013</v>
      </c>
      <c r="B71" s="5">
        <v>41443</v>
      </c>
      <c r="C71" s="5">
        <v>41444</v>
      </c>
      <c r="D71" t="s">
        <v>11</v>
      </c>
      <c r="E71" t="s">
        <v>36</v>
      </c>
      <c r="F71" t="s">
        <v>30</v>
      </c>
      <c r="G71" t="s">
        <v>14</v>
      </c>
      <c r="H71">
        <v>319.41000000000003</v>
      </c>
      <c r="I71">
        <v>5</v>
      </c>
      <c r="J71">
        <v>0.1</v>
      </c>
      <c r="K71">
        <v>7.0980000000000061</v>
      </c>
      <c r="P71">
        <v>2013</v>
      </c>
      <c r="Q71">
        <v>2013</v>
      </c>
      <c r="R71">
        <v>22.585199999999993</v>
      </c>
    </row>
    <row r="72" spans="1:18" x14ac:dyDescent="0.25">
      <c r="A72">
        <f>YEAR([1]Data!$D60)</f>
        <v>2013</v>
      </c>
      <c r="B72" s="5">
        <v>41443</v>
      </c>
      <c r="C72" s="5">
        <v>41444</v>
      </c>
      <c r="D72" t="s">
        <v>11</v>
      </c>
      <c r="E72" t="s">
        <v>36</v>
      </c>
      <c r="F72" t="s">
        <v>30</v>
      </c>
      <c r="G72" t="s">
        <v>18</v>
      </c>
      <c r="H72">
        <v>14.56</v>
      </c>
      <c r="I72">
        <v>2</v>
      </c>
      <c r="J72">
        <v>0</v>
      </c>
      <c r="K72">
        <v>6.9888000000000003</v>
      </c>
      <c r="P72">
        <v>2013</v>
      </c>
      <c r="Q72">
        <v>2013</v>
      </c>
      <c r="R72">
        <v>6.6329999999999982</v>
      </c>
    </row>
    <row r="73" spans="1:18" x14ac:dyDescent="0.25">
      <c r="A73">
        <f>YEAR([1]Data!$D61)</f>
        <v>2013</v>
      </c>
      <c r="B73" s="5">
        <v>41443</v>
      </c>
      <c r="C73" s="5">
        <v>41444</v>
      </c>
      <c r="D73" t="s">
        <v>11</v>
      </c>
      <c r="E73" t="s">
        <v>36</v>
      </c>
      <c r="F73" t="s">
        <v>30</v>
      </c>
      <c r="G73" t="s">
        <v>20</v>
      </c>
      <c r="H73">
        <v>30</v>
      </c>
      <c r="I73">
        <v>2</v>
      </c>
      <c r="J73">
        <v>0</v>
      </c>
      <c r="K73">
        <v>3.3000000000000007</v>
      </c>
      <c r="P73">
        <v>2013</v>
      </c>
      <c r="Q73">
        <v>2013</v>
      </c>
      <c r="R73">
        <v>8.2781999999999982</v>
      </c>
    </row>
    <row r="74" spans="1:18" x14ac:dyDescent="0.25">
      <c r="A74">
        <f>YEAR([1]Data!$D62)</f>
        <v>2013</v>
      </c>
      <c r="B74" s="5">
        <v>41443</v>
      </c>
      <c r="C74" s="5">
        <v>41444</v>
      </c>
      <c r="D74" t="s">
        <v>11</v>
      </c>
      <c r="E74" t="s">
        <v>36</v>
      </c>
      <c r="F74" t="s">
        <v>30</v>
      </c>
      <c r="G74" t="s">
        <v>18</v>
      </c>
      <c r="H74">
        <v>48.480000000000004</v>
      </c>
      <c r="I74">
        <v>4</v>
      </c>
      <c r="J74">
        <v>0.2</v>
      </c>
      <c r="K74">
        <v>16.361999999999998</v>
      </c>
      <c r="P74">
        <v>2013</v>
      </c>
      <c r="Q74">
        <v>2013</v>
      </c>
      <c r="R74">
        <v>3.1104000000000003</v>
      </c>
    </row>
    <row r="75" spans="1:18" x14ac:dyDescent="0.25">
      <c r="A75">
        <f>YEAR([1]Data!$D63)</f>
        <v>2013</v>
      </c>
      <c r="B75" s="5">
        <v>41443</v>
      </c>
      <c r="C75" s="5">
        <v>41444</v>
      </c>
      <c r="D75" t="s">
        <v>11</v>
      </c>
      <c r="E75" t="s">
        <v>36</v>
      </c>
      <c r="F75" t="s">
        <v>30</v>
      </c>
      <c r="G75" t="s">
        <v>18</v>
      </c>
      <c r="H75">
        <v>1.68</v>
      </c>
      <c r="I75">
        <v>1</v>
      </c>
      <c r="J75">
        <v>0</v>
      </c>
      <c r="K75">
        <v>0.84</v>
      </c>
      <c r="P75">
        <v>2013</v>
      </c>
      <c r="Q75">
        <v>2013</v>
      </c>
      <c r="R75">
        <v>1.7309999999999999</v>
      </c>
    </row>
    <row r="76" spans="1:18" x14ac:dyDescent="0.25">
      <c r="A76">
        <f>YEAR([1]Data!$D71)</f>
        <v>2013</v>
      </c>
      <c r="B76" s="5">
        <v>41430</v>
      </c>
      <c r="C76" s="5">
        <v>41432</v>
      </c>
      <c r="D76" t="s">
        <v>11</v>
      </c>
      <c r="E76" t="s">
        <v>38</v>
      </c>
      <c r="F76" t="s">
        <v>13</v>
      </c>
      <c r="G76" t="s">
        <v>18</v>
      </c>
      <c r="H76">
        <v>75.88</v>
      </c>
      <c r="I76">
        <v>2</v>
      </c>
      <c r="J76">
        <v>0</v>
      </c>
      <c r="K76">
        <v>35.663599999999995</v>
      </c>
      <c r="P76">
        <v>2013</v>
      </c>
      <c r="Q76">
        <v>2013</v>
      </c>
      <c r="R76">
        <v>41.913600000000002</v>
      </c>
    </row>
    <row r="77" spans="1:18" x14ac:dyDescent="0.25">
      <c r="A77">
        <f>YEAR([1]Data!$D72)</f>
        <v>2013</v>
      </c>
      <c r="B77" s="5">
        <v>41536</v>
      </c>
      <c r="C77" s="5">
        <v>41541</v>
      </c>
      <c r="D77" t="s">
        <v>11</v>
      </c>
      <c r="E77" t="s">
        <v>36</v>
      </c>
      <c r="F77" t="s">
        <v>30</v>
      </c>
      <c r="G77" t="s">
        <v>18</v>
      </c>
      <c r="H77">
        <v>4.6159999999999997</v>
      </c>
      <c r="I77">
        <v>1</v>
      </c>
      <c r="J77">
        <v>0.2</v>
      </c>
      <c r="K77">
        <v>1.7309999999999999</v>
      </c>
      <c r="P77">
        <v>2013</v>
      </c>
      <c r="Q77">
        <v>2013</v>
      </c>
      <c r="R77">
        <v>219.58199999999997</v>
      </c>
    </row>
    <row r="78" spans="1:18" x14ac:dyDescent="0.25">
      <c r="A78">
        <f>YEAR([1]Data!$D81)</f>
        <v>2013</v>
      </c>
      <c r="B78" s="5">
        <v>41438</v>
      </c>
      <c r="C78" s="5">
        <v>41441</v>
      </c>
      <c r="D78" t="s">
        <v>15</v>
      </c>
      <c r="E78" t="s">
        <v>40</v>
      </c>
      <c r="F78" t="s">
        <v>13</v>
      </c>
      <c r="G78" t="s">
        <v>18</v>
      </c>
      <c r="H78">
        <v>208.16</v>
      </c>
      <c r="I78">
        <v>1</v>
      </c>
      <c r="J78">
        <v>0</v>
      </c>
      <c r="K78">
        <v>56.20320000000001</v>
      </c>
      <c r="P78">
        <v>2013</v>
      </c>
      <c r="Q78">
        <v>2013</v>
      </c>
      <c r="R78">
        <v>132.59219999999993</v>
      </c>
    </row>
    <row r="79" spans="1:18" x14ac:dyDescent="0.25">
      <c r="A79">
        <f>YEAR([1]Data!$D82)</f>
        <v>2013</v>
      </c>
      <c r="B79" s="5">
        <v>41438</v>
      </c>
      <c r="C79" s="5">
        <v>41441</v>
      </c>
      <c r="D79" t="s">
        <v>15</v>
      </c>
      <c r="E79" t="s">
        <v>40</v>
      </c>
      <c r="F79" t="s">
        <v>13</v>
      </c>
      <c r="G79" t="s">
        <v>18</v>
      </c>
      <c r="H79">
        <v>16.740000000000002</v>
      </c>
      <c r="I79">
        <v>3</v>
      </c>
      <c r="J79">
        <v>0</v>
      </c>
      <c r="K79">
        <v>8.0351999999999997</v>
      </c>
      <c r="P79">
        <v>2013</v>
      </c>
      <c r="Q79">
        <v>2013</v>
      </c>
      <c r="R79">
        <v>123.47369999999989</v>
      </c>
    </row>
    <row r="80" spans="1:18" x14ac:dyDescent="0.25">
      <c r="A80">
        <f>YEAR([1]Data!$D90)</f>
        <v>2013</v>
      </c>
      <c r="B80" s="5">
        <v>41370</v>
      </c>
      <c r="C80" s="5">
        <v>41375</v>
      </c>
      <c r="D80" t="s">
        <v>23</v>
      </c>
      <c r="E80" t="s">
        <v>24</v>
      </c>
      <c r="F80" t="s">
        <v>25</v>
      </c>
      <c r="G80" t="s">
        <v>18</v>
      </c>
      <c r="H80">
        <v>158.36800000000002</v>
      </c>
      <c r="I80">
        <v>7</v>
      </c>
      <c r="J80">
        <v>0.2</v>
      </c>
      <c r="K80">
        <v>13.857199999999999</v>
      </c>
      <c r="P80">
        <v>2013</v>
      </c>
      <c r="Q80">
        <v>2013</v>
      </c>
      <c r="R80">
        <v>-147.96300000000002</v>
      </c>
    </row>
    <row r="81" spans="1:18" x14ac:dyDescent="0.25">
      <c r="A81">
        <f>YEAR([1]Data!$D91)</f>
        <v>2013</v>
      </c>
      <c r="B81" s="5">
        <v>41535</v>
      </c>
      <c r="C81" s="5">
        <v>41540</v>
      </c>
      <c r="D81" t="s">
        <v>15</v>
      </c>
      <c r="E81" t="s">
        <v>16</v>
      </c>
      <c r="F81" t="s">
        <v>17</v>
      </c>
      <c r="G81" t="s">
        <v>18</v>
      </c>
      <c r="H81">
        <v>20.100000000000001</v>
      </c>
      <c r="I81">
        <v>3</v>
      </c>
      <c r="J81">
        <v>0</v>
      </c>
      <c r="K81">
        <v>6.6329999999999982</v>
      </c>
      <c r="P81">
        <v>2013</v>
      </c>
      <c r="Q81">
        <v>2013</v>
      </c>
      <c r="R81">
        <v>5.0595999999999997</v>
      </c>
    </row>
    <row r="82" spans="1:18" x14ac:dyDescent="0.25">
      <c r="A82">
        <f>YEAR([1]Data!$D92)</f>
        <v>2013</v>
      </c>
      <c r="B82" s="5">
        <v>41535</v>
      </c>
      <c r="C82" s="5">
        <v>41540</v>
      </c>
      <c r="D82" t="s">
        <v>15</v>
      </c>
      <c r="E82" t="s">
        <v>16</v>
      </c>
      <c r="F82" t="s">
        <v>17</v>
      </c>
      <c r="G82" t="s">
        <v>20</v>
      </c>
      <c r="H82">
        <v>73.584000000000003</v>
      </c>
      <c r="I82">
        <v>2</v>
      </c>
      <c r="J82">
        <v>0.2</v>
      </c>
      <c r="K82">
        <v>8.2781999999999982</v>
      </c>
      <c r="P82">
        <v>2013</v>
      </c>
      <c r="Q82">
        <v>2013</v>
      </c>
      <c r="R82">
        <v>15.688400000000001</v>
      </c>
    </row>
    <row r="83" spans="1:18" x14ac:dyDescent="0.25">
      <c r="A83">
        <f>YEAR([1]Data!$D93)</f>
        <v>2013</v>
      </c>
      <c r="B83" s="5">
        <v>41535</v>
      </c>
      <c r="C83" s="5">
        <v>41540</v>
      </c>
      <c r="D83" t="s">
        <v>15</v>
      </c>
      <c r="E83" t="s">
        <v>16</v>
      </c>
      <c r="F83" t="s">
        <v>17</v>
      </c>
      <c r="G83" t="s">
        <v>18</v>
      </c>
      <c r="H83">
        <v>6.48</v>
      </c>
      <c r="I83">
        <v>1</v>
      </c>
      <c r="J83">
        <v>0</v>
      </c>
      <c r="K83">
        <v>3.1104000000000003</v>
      </c>
      <c r="P83">
        <v>2013</v>
      </c>
      <c r="Q83">
        <v>2013</v>
      </c>
      <c r="R83">
        <v>6.2566000000000006</v>
      </c>
    </row>
    <row r="84" spans="1:18" x14ac:dyDescent="0.25">
      <c r="A84">
        <f>YEAR([1]Data!$D100)</f>
        <v>2013</v>
      </c>
      <c r="B84" s="5">
        <v>41524</v>
      </c>
      <c r="C84" s="5">
        <v>41529</v>
      </c>
      <c r="D84" t="s">
        <v>15</v>
      </c>
      <c r="E84" t="s">
        <v>32</v>
      </c>
      <c r="F84" t="s">
        <v>25</v>
      </c>
      <c r="G84" t="s">
        <v>18</v>
      </c>
      <c r="H84">
        <v>77.88</v>
      </c>
      <c r="I84">
        <v>6</v>
      </c>
      <c r="J84">
        <v>0</v>
      </c>
      <c r="K84">
        <v>22.585199999999993</v>
      </c>
      <c r="P84">
        <v>2013</v>
      </c>
      <c r="Q84">
        <v>2013</v>
      </c>
      <c r="R84">
        <v>298.68549999999999</v>
      </c>
    </row>
    <row r="85" spans="1:18" x14ac:dyDescent="0.25">
      <c r="A85">
        <f>YEAR([1]Data!$D14)</f>
        <v>2014</v>
      </c>
      <c r="B85" s="5">
        <v>41745</v>
      </c>
      <c r="C85" s="5">
        <v>41750</v>
      </c>
      <c r="D85" t="s">
        <v>11</v>
      </c>
      <c r="E85" t="s">
        <v>21</v>
      </c>
      <c r="F85" t="s">
        <v>13</v>
      </c>
      <c r="G85" t="s">
        <v>18</v>
      </c>
      <c r="H85">
        <v>15.552000000000003</v>
      </c>
      <c r="I85">
        <v>3</v>
      </c>
      <c r="J85">
        <v>0.2</v>
      </c>
      <c r="K85">
        <v>5.4432</v>
      </c>
      <c r="P85">
        <v>2014</v>
      </c>
      <c r="Q85">
        <v>2014</v>
      </c>
      <c r="R85">
        <v>5.4432</v>
      </c>
    </row>
    <row r="86" spans="1:18" x14ac:dyDescent="0.25">
      <c r="A86">
        <f>YEAR([1]Data!$D25)</f>
        <v>2014</v>
      </c>
      <c r="B86" s="5">
        <v>41837</v>
      </c>
      <c r="C86" s="5">
        <v>41839</v>
      </c>
      <c r="D86" t="s">
        <v>11</v>
      </c>
      <c r="E86" t="s">
        <v>29</v>
      </c>
      <c r="F86" t="s">
        <v>30</v>
      </c>
      <c r="G86" t="s">
        <v>14</v>
      </c>
      <c r="H86">
        <v>71.371999999999986</v>
      </c>
      <c r="I86">
        <v>2</v>
      </c>
      <c r="J86">
        <v>0.3</v>
      </c>
      <c r="K86">
        <v>-1.0196000000000005</v>
      </c>
      <c r="P86">
        <v>2014</v>
      </c>
      <c r="Q86">
        <v>2014</v>
      </c>
      <c r="R86">
        <v>33.215599999999995</v>
      </c>
    </row>
    <row r="87" spans="1:18" x14ac:dyDescent="0.25">
      <c r="A87">
        <f>YEAR([1]Data!$D36)</f>
        <v>2014</v>
      </c>
      <c r="B87" s="5">
        <v>41932</v>
      </c>
      <c r="C87" s="5">
        <v>41936</v>
      </c>
      <c r="D87" t="s">
        <v>23</v>
      </c>
      <c r="E87" t="s">
        <v>24</v>
      </c>
      <c r="F87" t="s">
        <v>25</v>
      </c>
      <c r="G87" t="s">
        <v>18</v>
      </c>
      <c r="H87">
        <v>29.472000000000001</v>
      </c>
      <c r="I87">
        <v>3</v>
      </c>
      <c r="J87">
        <v>0.2</v>
      </c>
      <c r="K87">
        <v>9.9467999999999979</v>
      </c>
      <c r="P87">
        <v>2014</v>
      </c>
      <c r="Q87">
        <v>2014</v>
      </c>
      <c r="R87">
        <v>17.959199999999999</v>
      </c>
    </row>
    <row r="88" spans="1:18" x14ac:dyDescent="0.25">
      <c r="A88">
        <f>YEAR([1]Data!$D43)</f>
        <v>2014</v>
      </c>
      <c r="B88" s="5">
        <v>41893</v>
      </c>
      <c r="C88" s="5">
        <v>41898</v>
      </c>
      <c r="D88" t="s">
        <v>15</v>
      </c>
      <c r="E88" t="s">
        <v>31</v>
      </c>
      <c r="F88" t="s">
        <v>25</v>
      </c>
      <c r="G88" t="s">
        <v>20</v>
      </c>
      <c r="H88">
        <v>147.16800000000001</v>
      </c>
      <c r="I88">
        <v>4</v>
      </c>
      <c r="J88">
        <v>0.2</v>
      </c>
      <c r="K88">
        <v>16.556399999999996</v>
      </c>
      <c r="P88">
        <v>2014</v>
      </c>
      <c r="Q88">
        <v>2014</v>
      </c>
      <c r="R88">
        <v>-1.0196000000000005</v>
      </c>
    </row>
    <row r="89" spans="1:18" x14ac:dyDescent="0.25">
      <c r="A89">
        <f>YEAR([1]Data!$D45)</f>
        <v>2014</v>
      </c>
      <c r="B89" s="5">
        <v>41902</v>
      </c>
      <c r="C89" s="5">
        <v>41906</v>
      </c>
      <c r="D89" t="s">
        <v>15</v>
      </c>
      <c r="E89" t="s">
        <v>19</v>
      </c>
      <c r="F89" t="s">
        <v>13</v>
      </c>
      <c r="G89" t="s">
        <v>18</v>
      </c>
      <c r="H89">
        <v>95.616</v>
      </c>
      <c r="I89">
        <v>2</v>
      </c>
      <c r="J89">
        <v>0.2</v>
      </c>
      <c r="K89">
        <v>9.5616000000000092</v>
      </c>
      <c r="P89">
        <v>2014</v>
      </c>
      <c r="Q89">
        <v>2014</v>
      </c>
      <c r="R89">
        <v>16.556399999999996</v>
      </c>
    </row>
    <row r="90" spans="1:18" x14ac:dyDescent="0.25">
      <c r="A90">
        <f>YEAR([1]Data!$D73)</f>
        <v>2014</v>
      </c>
      <c r="B90" s="5">
        <v>41897</v>
      </c>
      <c r="C90" s="5">
        <v>41900</v>
      </c>
      <c r="D90" t="s">
        <v>11</v>
      </c>
      <c r="E90" t="s">
        <v>33</v>
      </c>
      <c r="F90" t="s">
        <v>25</v>
      </c>
      <c r="G90" t="s">
        <v>18</v>
      </c>
      <c r="H90">
        <v>19.049999999999997</v>
      </c>
      <c r="I90">
        <v>3</v>
      </c>
      <c r="J90">
        <v>0</v>
      </c>
      <c r="K90">
        <v>8.7629999999999999</v>
      </c>
      <c r="P90">
        <v>2014</v>
      </c>
      <c r="Q90">
        <v>2014</v>
      </c>
      <c r="R90">
        <v>8.7629999999999999</v>
      </c>
    </row>
    <row r="91" spans="1:18" x14ac:dyDescent="0.25">
      <c r="A91">
        <f>YEAR([1]Data!$D77)</f>
        <v>2014</v>
      </c>
      <c r="B91" s="5">
        <v>41983</v>
      </c>
      <c r="C91" s="5">
        <v>41985</v>
      </c>
      <c r="D91" t="s">
        <v>15</v>
      </c>
      <c r="E91" t="s">
        <v>24</v>
      </c>
      <c r="F91" t="s">
        <v>25</v>
      </c>
      <c r="G91" t="s">
        <v>18</v>
      </c>
      <c r="H91">
        <v>1.2479999999999998</v>
      </c>
      <c r="I91">
        <v>3</v>
      </c>
      <c r="J91">
        <v>0.8</v>
      </c>
      <c r="K91">
        <v>-1.9344000000000006</v>
      </c>
      <c r="P91">
        <v>2014</v>
      </c>
      <c r="Q91">
        <v>2014</v>
      </c>
      <c r="R91">
        <v>9.5616000000000092</v>
      </c>
    </row>
    <row r="92" spans="1:18" x14ac:dyDescent="0.25">
      <c r="A92">
        <f>YEAR([1]Data!$D78)</f>
        <v>2014</v>
      </c>
      <c r="B92" s="5">
        <v>41983</v>
      </c>
      <c r="C92" s="5">
        <v>41985</v>
      </c>
      <c r="D92" t="s">
        <v>15</v>
      </c>
      <c r="E92" t="s">
        <v>24</v>
      </c>
      <c r="F92" t="s">
        <v>25</v>
      </c>
      <c r="G92" t="s">
        <v>14</v>
      </c>
      <c r="H92">
        <v>9.7080000000000002</v>
      </c>
      <c r="I92">
        <v>3</v>
      </c>
      <c r="J92">
        <v>0.6</v>
      </c>
      <c r="K92">
        <v>-5.8248000000000015</v>
      </c>
      <c r="P92">
        <v>2014</v>
      </c>
      <c r="Q92">
        <v>2014</v>
      </c>
      <c r="R92">
        <v>9.9467999999999979</v>
      </c>
    </row>
    <row r="93" spans="1:18" x14ac:dyDescent="0.25">
      <c r="A93">
        <f>YEAR([1]Data!$D79)</f>
        <v>2014</v>
      </c>
      <c r="B93" s="5">
        <v>41983</v>
      </c>
      <c r="C93" s="5">
        <v>41985</v>
      </c>
      <c r="D93" t="s">
        <v>15</v>
      </c>
      <c r="E93" t="s">
        <v>24</v>
      </c>
      <c r="F93" t="s">
        <v>25</v>
      </c>
      <c r="G93" t="s">
        <v>18</v>
      </c>
      <c r="H93">
        <v>27.240000000000002</v>
      </c>
      <c r="I93">
        <v>3</v>
      </c>
      <c r="J93">
        <v>0.2</v>
      </c>
      <c r="K93">
        <v>2.724000000000002</v>
      </c>
      <c r="P93">
        <v>2014</v>
      </c>
      <c r="Q93">
        <v>2014</v>
      </c>
      <c r="R93">
        <v>6.796599999999998</v>
      </c>
    </row>
    <row r="94" spans="1:18" x14ac:dyDescent="0.25">
      <c r="A94">
        <f>YEAR([1]Data!$D86)</f>
        <v>2014</v>
      </c>
      <c r="B94" s="5">
        <v>41957</v>
      </c>
      <c r="C94" s="5">
        <v>41960</v>
      </c>
      <c r="D94" t="s">
        <v>23</v>
      </c>
      <c r="E94" t="s">
        <v>31</v>
      </c>
      <c r="F94" t="s">
        <v>25</v>
      </c>
      <c r="G94" t="s">
        <v>18</v>
      </c>
      <c r="H94">
        <v>230.376</v>
      </c>
      <c r="I94">
        <v>3</v>
      </c>
      <c r="J94">
        <v>0.2</v>
      </c>
      <c r="K94">
        <v>-48.954900000000002</v>
      </c>
      <c r="P94">
        <v>2014</v>
      </c>
      <c r="Q94">
        <v>2014</v>
      </c>
      <c r="R94">
        <v>2.9567999999999999</v>
      </c>
    </row>
    <row r="95" spans="1:18" x14ac:dyDescent="0.25">
      <c r="A95">
        <f>YEAR([1]Data!$D87)</f>
        <v>2014</v>
      </c>
      <c r="B95" s="5">
        <v>41788</v>
      </c>
      <c r="C95" s="5">
        <v>41790</v>
      </c>
      <c r="D95" t="s">
        <v>11</v>
      </c>
      <c r="E95" t="s">
        <v>41</v>
      </c>
      <c r="F95" t="s">
        <v>13</v>
      </c>
      <c r="G95" t="s">
        <v>14</v>
      </c>
      <c r="H95">
        <v>301.95999999999998</v>
      </c>
      <c r="I95">
        <v>2</v>
      </c>
      <c r="J95">
        <v>0</v>
      </c>
      <c r="K95">
        <v>33.215599999999995</v>
      </c>
      <c r="P95">
        <v>2014</v>
      </c>
      <c r="Q95">
        <v>2014</v>
      </c>
      <c r="R95">
        <v>-3.7880000000000003</v>
      </c>
    </row>
    <row r="96" spans="1:18" x14ac:dyDescent="0.25">
      <c r="A96">
        <f>YEAR([1]Data!$D88)</f>
        <v>2014</v>
      </c>
      <c r="B96" s="5">
        <v>41939</v>
      </c>
      <c r="C96" s="5">
        <v>41946</v>
      </c>
      <c r="D96" t="s">
        <v>11</v>
      </c>
      <c r="E96" t="s">
        <v>32</v>
      </c>
      <c r="F96" t="s">
        <v>25</v>
      </c>
      <c r="G96" t="s">
        <v>20</v>
      </c>
      <c r="H96">
        <v>19.989999999999998</v>
      </c>
      <c r="I96">
        <v>1</v>
      </c>
      <c r="J96">
        <v>0</v>
      </c>
      <c r="K96">
        <v>6.796599999999998</v>
      </c>
      <c r="P96">
        <v>2014</v>
      </c>
      <c r="Q96">
        <v>2014</v>
      </c>
      <c r="R96">
        <v>40.5426</v>
      </c>
    </row>
    <row r="97" spans="1:18" x14ac:dyDescent="0.25">
      <c r="A97">
        <f>YEAR([1]Data!$D89)</f>
        <v>2014</v>
      </c>
      <c r="B97" s="5">
        <v>41939</v>
      </c>
      <c r="C97" s="5">
        <v>41946</v>
      </c>
      <c r="D97" t="s">
        <v>11</v>
      </c>
      <c r="E97" t="s">
        <v>32</v>
      </c>
      <c r="F97" t="s">
        <v>25</v>
      </c>
      <c r="G97" t="s">
        <v>18</v>
      </c>
      <c r="H97">
        <v>6.16</v>
      </c>
      <c r="I97">
        <v>2</v>
      </c>
      <c r="J97">
        <v>0</v>
      </c>
      <c r="K97">
        <v>2.9567999999999999</v>
      </c>
      <c r="P97">
        <v>2014</v>
      </c>
      <c r="Q97">
        <v>2014</v>
      </c>
      <c r="R97">
        <v>-48.954900000000002</v>
      </c>
    </row>
    <row r="98" spans="1:18" x14ac:dyDescent="0.25">
      <c r="A98">
        <f>YEAR([1]Data!$D97)</f>
        <v>2014</v>
      </c>
      <c r="B98" s="5">
        <v>41950</v>
      </c>
      <c r="C98" s="5">
        <v>41956</v>
      </c>
      <c r="D98" t="s">
        <v>23</v>
      </c>
      <c r="E98" t="s">
        <v>42</v>
      </c>
      <c r="F98" t="s">
        <v>17</v>
      </c>
      <c r="G98" t="s">
        <v>18</v>
      </c>
      <c r="H98">
        <v>5.6820000000000013</v>
      </c>
      <c r="I98">
        <v>1</v>
      </c>
      <c r="J98">
        <v>0.7</v>
      </c>
      <c r="K98">
        <v>-3.7880000000000003</v>
      </c>
      <c r="P98">
        <v>2014</v>
      </c>
      <c r="Q98">
        <v>2014</v>
      </c>
      <c r="R98">
        <v>-1.9344000000000006</v>
      </c>
    </row>
    <row r="99" spans="1:18" x14ac:dyDescent="0.25">
      <c r="A99">
        <f>YEAR([1]Data!$D98)</f>
        <v>2014</v>
      </c>
      <c r="B99" s="5">
        <v>41953</v>
      </c>
      <c r="C99" s="5">
        <v>41955</v>
      </c>
      <c r="D99" t="s">
        <v>23</v>
      </c>
      <c r="E99" t="s">
        <v>36</v>
      </c>
      <c r="F99" t="s">
        <v>30</v>
      </c>
      <c r="G99" t="s">
        <v>14</v>
      </c>
      <c r="H99">
        <v>96.53</v>
      </c>
      <c r="I99">
        <v>7</v>
      </c>
      <c r="J99">
        <v>0</v>
      </c>
      <c r="K99">
        <v>40.5426</v>
      </c>
      <c r="P99">
        <v>2014</v>
      </c>
      <c r="Q99">
        <v>2014</v>
      </c>
      <c r="R99">
        <v>-5.8248000000000015</v>
      </c>
    </row>
    <row r="100" spans="1:18" x14ac:dyDescent="0.25">
      <c r="A100">
        <f>YEAR([1]Data!$D99)</f>
        <v>2014</v>
      </c>
      <c r="B100" s="5">
        <v>41808</v>
      </c>
      <c r="C100" s="5">
        <v>41811</v>
      </c>
      <c r="D100" t="s">
        <v>11</v>
      </c>
      <c r="E100" t="s">
        <v>16</v>
      </c>
      <c r="F100" t="s">
        <v>17</v>
      </c>
      <c r="G100" t="s">
        <v>18</v>
      </c>
      <c r="H100">
        <v>51.311999999999998</v>
      </c>
      <c r="I100">
        <v>3</v>
      </c>
      <c r="J100">
        <v>0.2</v>
      </c>
      <c r="K100">
        <v>17.959199999999999</v>
      </c>
      <c r="P100">
        <v>2014</v>
      </c>
      <c r="Q100">
        <v>2014</v>
      </c>
      <c r="R100">
        <v>2.724000000000002</v>
      </c>
    </row>
  </sheetData>
  <autoFilter ref="P1:R100" xr:uid="{7332C6CC-742C-4855-AE2D-DD9BEEFB1863}">
    <sortState xmlns:xlrd2="http://schemas.microsoft.com/office/spreadsheetml/2017/richdata2" ref="P2:R100">
      <sortCondition ref="Q1:Q100"/>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AC22-1AB5-4063-B5D4-B61CE1F77E8C}">
  <dimension ref="A1:E11"/>
  <sheetViews>
    <sheetView workbookViewId="0">
      <selection activeCell="C10" sqref="C10"/>
    </sheetView>
  </sheetViews>
  <sheetFormatPr defaultRowHeight="15" x14ac:dyDescent="0.25"/>
  <cols>
    <col min="2" max="2" width="12.140625" customWidth="1"/>
    <col min="3" max="3" width="21.28515625" customWidth="1"/>
    <col min="4" max="5" width="36.140625" customWidth="1"/>
  </cols>
  <sheetData>
    <row r="1" spans="1:5" x14ac:dyDescent="0.25">
      <c r="A1" t="s">
        <v>0</v>
      </c>
      <c r="B1" t="s">
        <v>59</v>
      </c>
      <c r="C1" t="s">
        <v>60</v>
      </c>
      <c r="D1" t="s">
        <v>61</v>
      </c>
      <c r="E1" t="s">
        <v>62</v>
      </c>
    </row>
    <row r="2" spans="1:5" x14ac:dyDescent="0.25">
      <c r="A2">
        <v>1990</v>
      </c>
      <c r="B2">
        <v>456</v>
      </c>
    </row>
    <row r="3" spans="1:5" x14ac:dyDescent="0.25">
      <c r="A3">
        <v>2000</v>
      </c>
      <c r="B3">
        <v>678</v>
      </c>
    </row>
    <row r="4" spans="1:5" x14ac:dyDescent="0.25">
      <c r="A4">
        <v>2010</v>
      </c>
      <c r="B4">
        <v>874</v>
      </c>
    </row>
    <row r="5" spans="1:5" x14ac:dyDescent="0.25">
      <c r="A5">
        <v>2020</v>
      </c>
      <c r="B5">
        <v>798</v>
      </c>
    </row>
    <row r="6" spans="1:5" x14ac:dyDescent="0.25">
      <c r="A6">
        <v>2030</v>
      </c>
      <c r="B6">
        <v>864</v>
      </c>
      <c r="C6">
        <v>864</v>
      </c>
      <c r="D6" s="16">
        <v>864</v>
      </c>
      <c r="E6" s="16">
        <v>864</v>
      </c>
    </row>
    <row r="7" spans="1:5" x14ac:dyDescent="0.25">
      <c r="A7">
        <v>2040</v>
      </c>
      <c r="C7">
        <f>_xlfn.FORECAST.ETS(A7,$B$2:$B$6,$A$2:$A$6,1,1)</f>
        <v>979.72371447223577</v>
      </c>
      <c r="D7" s="16">
        <f>C7-_xlfn.FORECAST.ETS.CONFINT(A7,$B$2:$B$6,$A$2:$A$6,0.95,1,1)</f>
        <v>767.58800965881346</v>
      </c>
      <c r="E7" s="16">
        <f>C7+_xlfn.FORECAST.ETS.CONFINT(A7,$B$2:$B$6,$A$2:$A$6,0.95,1,1)</f>
        <v>1191.8594192856581</v>
      </c>
    </row>
    <row r="8" spans="1:5" x14ac:dyDescent="0.25">
      <c r="A8">
        <v>2050</v>
      </c>
      <c r="C8">
        <f>_xlfn.FORECAST.ETS(A8,$B$2:$B$6,$A$2:$A$6,1,1)</f>
        <v>1066.4610009803218</v>
      </c>
      <c r="D8" s="16">
        <f>C8-_xlfn.FORECAST.ETS.CONFINT(A8,$B$2:$B$6,$A$2:$A$6,0.95,1,1)</f>
        <v>829.19112693459874</v>
      </c>
      <c r="E8" s="16">
        <f>C8+_xlfn.FORECAST.ETS.CONFINT(A8,$B$2:$B$6,$A$2:$A$6,0.95,1,1)</f>
        <v>1303.7308750260449</v>
      </c>
    </row>
    <row r="9" spans="1:5" x14ac:dyDescent="0.25">
      <c r="A9">
        <v>2060</v>
      </c>
      <c r="C9">
        <f>_xlfn.FORECAST.ETS(A9,$B$2:$B$6,$A$2:$A$6,1,1)</f>
        <v>1153.1982874884077</v>
      </c>
      <c r="D9" s="16">
        <f>C9-_xlfn.FORECAST.ETS.CONFINT(A9,$B$2:$B$6,$A$2:$A$6,0.95,1,1)</f>
        <v>893.12605605147098</v>
      </c>
      <c r="E9" s="16">
        <f>C9+_xlfn.FORECAST.ETS.CONFINT(A9,$B$2:$B$6,$A$2:$A$6,0.95,1,1)</f>
        <v>1413.2705189253443</v>
      </c>
    </row>
    <row r="10" spans="1:5" x14ac:dyDescent="0.25">
      <c r="A10">
        <v>2070</v>
      </c>
      <c r="C10">
        <f>_xlfn.FORECAST.ETS(A10,$B$2:$B$6,$A$2:$A$6,1,1)</f>
        <v>1239.9355739964935</v>
      </c>
      <c r="D10" s="16">
        <f>C10-_xlfn.FORECAST.ETS.CONFINT(A10,$B$2:$B$6,$A$2:$A$6,0.95,1,1)</f>
        <v>958.82462692302079</v>
      </c>
      <c r="E10" s="16">
        <f>C10+_xlfn.FORECAST.ETS.CONFINT(A10,$B$2:$B$6,$A$2:$A$6,0.95,1,1)</f>
        <v>1521.0465210699663</v>
      </c>
    </row>
    <row r="11" spans="1:5" x14ac:dyDescent="0.25">
      <c r="A11">
        <v>2080</v>
      </c>
      <c r="C11">
        <f>_xlfn.FORECAST.ETS(A11,$B$2:$B$6,$A$2:$A$6,1,1)</f>
        <v>1326.6728605045794</v>
      </c>
      <c r="D11" s="16">
        <f>C11-_xlfn.FORECAST.ETS.CONFINT(A11,$B$2:$B$6,$A$2:$A$6,0.95,1,1)</f>
        <v>1025.916347470099</v>
      </c>
      <c r="E11" s="16">
        <f>C11+_xlfn.FORECAST.ETS.CONFINT(A11,$B$2:$B$6,$A$2:$A$6,0.95,1,1)</f>
        <v>1627.4293735390597</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D445-9817-4A5D-9F99-29EF534544FE}">
  <dimension ref="J1:K6"/>
  <sheetViews>
    <sheetView workbookViewId="0">
      <selection activeCell="U11" sqref="U11"/>
    </sheetView>
  </sheetViews>
  <sheetFormatPr defaultRowHeight="15" x14ac:dyDescent="0.25"/>
  <sheetData>
    <row r="1" spans="10:11" x14ac:dyDescent="0.25">
      <c r="J1" t="s">
        <v>0</v>
      </c>
      <c r="K1" t="s">
        <v>59</v>
      </c>
    </row>
    <row r="2" spans="10:11" x14ac:dyDescent="0.25">
      <c r="J2">
        <v>1990</v>
      </c>
      <c r="K2">
        <v>456</v>
      </c>
    </row>
    <row r="3" spans="10:11" x14ac:dyDescent="0.25">
      <c r="J3">
        <v>2000</v>
      </c>
      <c r="K3">
        <v>678</v>
      </c>
    </row>
    <row r="4" spans="10:11" x14ac:dyDescent="0.25">
      <c r="J4">
        <v>2010</v>
      </c>
      <c r="K4">
        <v>874</v>
      </c>
    </row>
    <row r="5" spans="10:11" x14ac:dyDescent="0.25">
      <c r="J5">
        <v>2020</v>
      </c>
      <c r="K5">
        <v>798</v>
      </c>
    </row>
    <row r="6" spans="10:11" x14ac:dyDescent="0.25">
      <c r="J6">
        <v>2030</v>
      </c>
      <c r="K6">
        <v>864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A7DF-7CEE-4795-AA60-8D7AF82C4C4C}">
  <dimension ref="J5:L9"/>
  <sheetViews>
    <sheetView tabSelected="1" workbookViewId="0">
      <selection activeCell="M9" sqref="L9:M9"/>
    </sheetView>
  </sheetViews>
  <sheetFormatPr defaultRowHeight="15" x14ac:dyDescent="0.25"/>
  <cols>
    <col min="10" max="10" width="14.5703125" bestFit="1" customWidth="1"/>
    <col min="12" max="12" width="23.42578125" customWidth="1"/>
  </cols>
  <sheetData>
    <row r="5" spans="10:12" ht="125.25" customHeight="1" x14ac:dyDescent="0.25">
      <c r="L5" t="e" vm="1">
        <v>#VALUE!</v>
      </c>
    </row>
    <row r="7" spans="10:12" x14ac:dyDescent="0.25">
      <c r="J7" s="17" t="s">
        <v>63</v>
      </c>
    </row>
    <row r="9" spans="10:12" ht="117" customHeight="1" x14ac:dyDescent="0.25"/>
  </sheetData>
  <hyperlinks>
    <hyperlink ref="J7" r:id="rId1" xr:uid="{46CF947F-5620-49A8-BB3D-F64976AAA0C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Sheet13</vt:lpstr>
      <vt:lpstr>forecast sheet</vt:lpstr>
      <vt:lpstr>Sheet15</vt:lpstr>
      <vt:lpstr>Sheet14</vt:lpstr>
      <vt:lpstr>Sheet16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QSK1184</dc:creator>
  <cp:lastModifiedBy>QSK1184</cp:lastModifiedBy>
  <dcterms:created xsi:type="dcterms:W3CDTF">2024-10-10T06:37:24Z</dcterms:created>
  <dcterms:modified xsi:type="dcterms:W3CDTF">2024-10-14T06:17:31Z</dcterms:modified>
</cp:coreProperties>
</file>