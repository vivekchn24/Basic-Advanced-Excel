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VIVEK CHAUHAN\Desktop\vivek-data-analysis\Basic-Advanced-Excel\"/>
    </mc:Choice>
  </mc:AlternateContent>
  <xr:revisionPtr revIDLastSave="0" documentId="13_ncr:1_{138B008A-A19A-48B2-BAED-FCF18074C157}" xr6:coauthVersionLast="47" xr6:coauthVersionMax="47" xr10:uidLastSave="{00000000-0000-0000-0000-000000000000}"/>
  <bookViews>
    <workbookView xWindow="-108" yWindow="-108" windowWidth="23256" windowHeight="13896" xr2:uid="{D110E8CE-48C7-47EC-BA09-C17937305701}"/>
  </bookViews>
  <sheets>
    <sheet name="marksheet" sheetId="1" r:id="rId1"/>
    <sheet name="purchase sheet" sheetId="2" r:id="rId2"/>
    <sheet name="sales sheet" sheetId="3" r:id="rId3"/>
    <sheet name="salary sheet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1" i="4" l="1"/>
  <c r="N10" i="4"/>
  <c r="N9" i="4"/>
  <c r="N8" i="4"/>
  <c r="N7" i="4"/>
  <c r="N5" i="4"/>
  <c r="N6" i="4"/>
  <c r="M11" i="4"/>
  <c r="O11" i="4" s="1"/>
  <c r="M10" i="4"/>
  <c r="O10" i="4" s="1"/>
  <c r="M9" i="4"/>
  <c r="O9" i="4" s="1"/>
  <c r="M8" i="4"/>
  <c r="O8" i="4" s="1"/>
  <c r="M7" i="4"/>
  <c r="O7" i="4" s="1"/>
  <c r="M6" i="4"/>
  <c r="O6" i="4" s="1"/>
  <c r="M5" i="4"/>
  <c r="O5" i="4" s="1"/>
  <c r="N4" i="4"/>
  <c r="M4" i="4"/>
  <c r="O4" i="4" s="1"/>
  <c r="N3" i="4"/>
  <c r="M3" i="4"/>
  <c r="O3" i="4" s="1"/>
  <c r="I11" i="3"/>
  <c r="I10" i="3"/>
  <c r="I9" i="3"/>
  <c r="I8" i="3"/>
  <c r="I7" i="3"/>
  <c r="I6" i="3"/>
  <c r="I5" i="3"/>
  <c r="I4" i="3"/>
  <c r="H11" i="3"/>
  <c r="H10" i="3"/>
  <c r="H9" i="3"/>
  <c r="H8" i="3"/>
  <c r="H7" i="3"/>
  <c r="H6" i="3"/>
  <c r="H5" i="3"/>
  <c r="H4" i="3"/>
  <c r="G11" i="3"/>
  <c r="G10" i="3"/>
  <c r="G9" i="3"/>
  <c r="G8" i="3"/>
  <c r="G7" i="3"/>
  <c r="G6" i="3"/>
  <c r="G5" i="3"/>
  <c r="G4" i="3"/>
  <c r="F11" i="3"/>
  <c r="F10" i="3"/>
  <c r="F9" i="3"/>
  <c r="F8" i="3"/>
  <c r="F7" i="3"/>
  <c r="F6" i="3"/>
  <c r="F5" i="3"/>
  <c r="F4" i="3"/>
  <c r="I3" i="3"/>
  <c r="H3" i="3"/>
  <c r="G3" i="3"/>
  <c r="F3" i="3"/>
  <c r="D11" i="2"/>
  <c r="D10" i="2"/>
  <c r="D9" i="2"/>
  <c r="D8" i="2"/>
  <c r="D7" i="2"/>
  <c r="E7" i="2" s="1"/>
  <c r="F7" i="2" s="1"/>
  <c r="D6" i="2"/>
  <c r="D5" i="2"/>
  <c r="E5" i="2" s="1"/>
  <c r="F5" i="2" s="1"/>
  <c r="D4" i="2"/>
  <c r="D3" i="2"/>
  <c r="I11" i="1"/>
  <c r="K11" i="1" s="1"/>
  <c r="H11" i="1"/>
  <c r="G11" i="1"/>
  <c r="F11" i="1"/>
  <c r="I10" i="1"/>
  <c r="H10" i="1"/>
  <c r="G10" i="1"/>
  <c r="F10" i="1"/>
  <c r="I9" i="1"/>
  <c r="H9" i="1"/>
  <c r="G9" i="1"/>
  <c r="F9" i="1"/>
  <c r="I8" i="1"/>
  <c r="K8" i="1" s="1"/>
  <c r="H8" i="1"/>
  <c r="G8" i="1"/>
  <c r="F8" i="1"/>
  <c r="I7" i="1"/>
  <c r="H7" i="1"/>
  <c r="G7" i="1"/>
  <c r="F7" i="1"/>
  <c r="I6" i="1"/>
  <c r="K6" i="1" s="1"/>
  <c r="H6" i="1"/>
  <c r="G6" i="1"/>
  <c r="F6" i="1"/>
  <c r="H5" i="1"/>
  <c r="I5" i="1"/>
  <c r="K5" i="1" s="1"/>
  <c r="G5" i="1"/>
  <c r="F5" i="1"/>
  <c r="I4" i="1"/>
  <c r="K4" i="1" s="1"/>
  <c r="H4" i="1"/>
  <c r="G4" i="1"/>
  <c r="F4" i="1"/>
  <c r="I3" i="1"/>
  <c r="K3" i="1" s="1"/>
  <c r="H3" i="1"/>
  <c r="G3" i="1"/>
  <c r="F3" i="1"/>
  <c r="P3" i="4" l="1"/>
  <c r="Q3" i="4"/>
  <c r="R3" i="4" s="1"/>
  <c r="P4" i="4"/>
  <c r="Q4" i="4"/>
  <c r="R4" i="4" s="1"/>
  <c r="P5" i="4"/>
  <c r="Q5" i="4"/>
  <c r="R5" i="4" s="1"/>
  <c r="Q6" i="4"/>
  <c r="P6" i="4"/>
  <c r="R6" i="4" s="1"/>
  <c r="Q7" i="4"/>
  <c r="P7" i="4"/>
  <c r="R7" i="4" s="1"/>
  <c r="Q8" i="4"/>
  <c r="P8" i="4"/>
  <c r="R8" i="4" s="1"/>
  <c r="Q9" i="4"/>
  <c r="P9" i="4"/>
  <c r="R9" i="4" s="1"/>
  <c r="Q10" i="4"/>
  <c r="P10" i="4"/>
  <c r="R10" i="4"/>
  <c r="Q11" i="4"/>
  <c r="P11" i="4"/>
  <c r="R11" i="4"/>
  <c r="E6" i="2"/>
  <c r="F6" i="2" s="1"/>
  <c r="G7" i="2"/>
  <c r="H7" i="2" s="1"/>
  <c r="G5" i="2"/>
  <c r="H5" i="2" s="1"/>
  <c r="E8" i="2"/>
  <c r="F8" i="2" s="1"/>
  <c r="E3" i="2"/>
  <c r="F3" i="2" s="1"/>
  <c r="E10" i="2"/>
  <c r="F10" i="2" s="1"/>
  <c r="E9" i="2"/>
  <c r="F9" i="2" s="1"/>
  <c r="E11" i="2"/>
  <c r="F11" i="2" s="1"/>
  <c r="E4" i="2"/>
  <c r="F4" i="2" s="1"/>
  <c r="J6" i="1"/>
  <c r="J11" i="1"/>
  <c r="J7" i="1"/>
  <c r="J8" i="1"/>
  <c r="J9" i="1"/>
  <c r="J5" i="1"/>
  <c r="J10" i="1"/>
  <c r="K7" i="1"/>
  <c r="K9" i="1"/>
  <c r="K10" i="1"/>
  <c r="J3" i="1"/>
  <c r="J4" i="1"/>
  <c r="S6" i="4" l="1"/>
  <c r="T6" i="4" s="1"/>
  <c r="S9" i="4"/>
  <c r="T9" i="4" s="1"/>
  <c r="S5" i="4"/>
  <c r="T5" i="4" s="1"/>
  <c r="S3" i="4"/>
  <c r="T3" i="4" s="1"/>
  <c r="S8" i="4"/>
  <c r="T8" i="4" s="1"/>
  <c r="S7" i="4"/>
  <c r="T7" i="4" s="1"/>
  <c r="S4" i="4"/>
  <c r="T4" i="4" s="1"/>
  <c r="S11" i="4"/>
  <c r="T11" i="4" s="1"/>
  <c r="S10" i="4"/>
  <c r="T10" i="4" s="1"/>
  <c r="G6" i="2"/>
  <c r="H6" i="2"/>
  <c r="G11" i="2"/>
  <c r="H11" i="2" s="1"/>
  <c r="G8" i="2"/>
  <c r="H8" i="2" s="1"/>
  <c r="G4" i="2"/>
  <c r="H4" i="2" s="1"/>
  <c r="G9" i="2"/>
  <c r="H9" i="2" s="1"/>
  <c r="G10" i="2"/>
  <c r="H10" i="2" s="1"/>
  <c r="G3" i="2"/>
  <c r="H3" i="2" s="1"/>
</calcChain>
</file>

<file path=xl/sharedStrings.xml><?xml version="1.0" encoding="utf-8"?>
<sst xmlns="http://schemas.openxmlformats.org/spreadsheetml/2006/main" count="174" uniqueCount="62">
  <si>
    <t>Name</t>
  </si>
  <si>
    <t>Sci</t>
  </si>
  <si>
    <t>Eng</t>
  </si>
  <si>
    <t>Maths</t>
  </si>
  <si>
    <t>SS</t>
  </si>
  <si>
    <t>Total</t>
  </si>
  <si>
    <t>Min</t>
  </si>
  <si>
    <t>Max</t>
  </si>
  <si>
    <t>Average</t>
  </si>
  <si>
    <t>Rahul</t>
  </si>
  <si>
    <t xml:space="preserve">vivek </t>
  </si>
  <si>
    <t xml:space="preserve">harsh </t>
  </si>
  <si>
    <t xml:space="preserve">sarthak </t>
  </si>
  <si>
    <t xml:space="preserve">smit </t>
  </si>
  <si>
    <t xml:space="preserve">dhruvin </t>
  </si>
  <si>
    <t xml:space="preserve">kunj </t>
  </si>
  <si>
    <t xml:space="preserve">dev </t>
  </si>
  <si>
    <t xml:space="preserve">meet </t>
  </si>
  <si>
    <t>Rank</t>
  </si>
  <si>
    <t>Result</t>
  </si>
  <si>
    <t>Product</t>
  </si>
  <si>
    <t>Qty</t>
  </si>
  <si>
    <t>Rate</t>
  </si>
  <si>
    <t>Amount</t>
  </si>
  <si>
    <t>Books</t>
  </si>
  <si>
    <t>Disc</t>
  </si>
  <si>
    <t>Gross Amount</t>
  </si>
  <si>
    <t>Tax</t>
  </si>
  <si>
    <t>Net Amount</t>
  </si>
  <si>
    <t xml:space="preserve">pen </t>
  </si>
  <si>
    <t xml:space="preserve">eraser </t>
  </si>
  <si>
    <t xml:space="preserve">pencil </t>
  </si>
  <si>
    <t xml:space="preserve">gum stick </t>
  </si>
  <si>
    <t>compass</t>
  </si>
  <si>
    <t>sharpner</t>
  </si>
  <si>
    <t xml:space="preserve">circle </t>
  </si>
  <si>
    <t>drawing book</t>
  </si>
  <si>
    <t>Salary</t>
  </si>
  <si>
    <t>Present</t>
  </si>
  <si>
    <t>Absent</t>
  </si>
  <si>
    <t>p</t>
  </si>
  <si>
    <t>a</t>
  </si>
  <si>
    <t>Basic Salary</t>
  </si>
  <si>
    <t>RA</t>
  </si>
  <si>
    <t>VA</t>
  </si>
  <si>
    <t>Gross Salary</t>
  </si>
  <si>
    <t>PF</t>
  </si>
  <si>
    <t>Net Salary</t>
  </si>
  <si>
    <t>Marksheet for year 2024 Aug</t>
  </si>
  <si>
    <t>Sales Sheet for the year 2024 August month</t>
  </si>
  <si>
    <t>Purchase Sheet for the year 2024 August month</t>
  </si>
  <si>
    <t>Salary Sheet for the year 2024 August month</t>
  </si>
  <si>
    <t>01-09-2024</t>
  </si>
  <si>
    <t>02-09-2024</t>
  </si>
  <si>
    <t>03-09-2024</t>
  </si>
  <si>
    <t>04-09-2024</t>
  </si>
  <si>
    <t>05-09-2024</t>
  </si>
  <si>
    <t>06-09-2024</t>
  </si>
  <si>
    <t>07-09-2024</t>
  </si>
  <si>
    <t>08-09-2024</t>
  </si>
  <si>
    <t>09-09-2024</t>
  </si>
  <si>
    <t>10-09-2024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</si>
</sst>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&quot;₹&quot;\ #,##0.0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">
    <xf numFmtId="0" fontId="0" fillId="0" borderId="0" xfId="0"/>
    <xf numFmtId="14" fontId="0" fillId="0" borderId="0" xfId="0" applyNumberFormat="1"/>
    <xf numFmtId="0" fontId="2" fillId="2" borderId="0" xfId="0" applyFont="1" applyFill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2" fontId="0" fillId="0" borderId="0" xfId="0" applyNumberFormat="1"/>
    <xf numFmtId="164" fontId="0" fillId="0" borderId="0" xfId="0" applyNumberFormat="1"/>
    <xf numFmtId="44" fontId="0" fillId="0" borderId="0" xfId="0" applyNumberFormat="1"/>
    <xf numFmtId="9" fontId="0" fillId="0" borderId="0" xfId="2" applyFont="1"/>
    <xf numFmtId="43" fontId="0" fillId="0" borderId="0" xfId="1" applyFont="1"/>
    <xf numFmtId="0" fontId="2" fillId="2" borderId="0" xfId="0" applyFont="1" applyFill="1" applyAlignment="1">
      <alignment horizontal="center" vertical="center"/>
    </xf>
    <xf numFmtId="14" fontId="2" fillId="2" borderId="0" xfId="0" applyNumberFormat="1" applyFont="1" applyFill="1" applyAlignment="1">
      <alignment horizontal="center"/>
    </xf>
    <xf numFmtId="2" fontId="0" fillId="0" borderId="0" xfId="0" applyNumberFormat="1" applyAlignment="1">
      <alignment horizontal="center"/>
    </xf>
    <xf numFmtId="43" fontId="0" fillId="0" borderId="0" xfId="1" applyFont="1" applyAlignment="1">
      <alignment horizontal="center"/>
    </xf>
    <xf numFmtId="0" fontId="2" fillId="2" borderId="0" xfId="0" applyFont="1" applyFill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14" fontId="2" fillId="2" borderId="0" xfId="0" applyNumberFormat="1" applyFont="1" applyFill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80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bottom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bottom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bottom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bottom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bottom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bottom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bottom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bottom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bottom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alignment horizontal="center" vertical="bottom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9" formatCode="dd/mm/yyyy"/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</dxf>
    <dxf>
      <numFmt numFmtId="34" formatCode="_ &quot;₹&quot;\ * #,##0.00_ ;_ &quot;₹&quot;\ * \-#,##0.00_ ;_ &quot;₹&quot;\ * &quot;-&quot;??_ ;_ @_ "/>
    </dxf>
    <dxf>
      <numFmt numFmtId="34" formatCode="_ &quot;₹&quot;\ * #,##0.00_ ;_ &quot;₹&quot;\ * \-#,##0.00_ ;_ &quot;₹&quot;\ * &quot;-&quot;??_ ;_ @_ "/>
    </dxf>
    <dxf>
      <numFmt numFmtId="34" formatCode="_ &quot;₹&quot;\ * #,##0.00_ ;_ &quot;₹&quot;\ * \-#,##0.00_ ;_ &quot;₹&quot;\ * &quot;-&quot;??_ ;_ @_ 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2" formatCode="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theme="2"/>
        </patternFill>
      </fill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22/11/relationships/FeaturePropertyBag" Target="featurePropertyBag/featurePropertyBag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800">
                <a:solidFill>
                  <a:schemeClr val="tx1"/>
                </a:solidFill>
              </a:rPr>
              <a:t>Marksheet of the year August 2024 </a:t>
            </a:r>
          </a:p>
        </c:rich>
      </c:tx>
      <c:overlay val="0"/>
      <c:spPr>
        <a:solidFill>
          <a:schemeClr val="bg2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marksheet!$A$3</c:f>
              <c:strCache>
                <c:ptCount val="1"/>
                <c:pt idx="0">
                  <c:v>Rahul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marksheet!$B$2:$K$2</c15:sqref>
                  </c15:fullRef>
                </c:ext>
              </c:extLst>
              <c:f>marksheet!$B$2:$F$2</c:f>
              <c:strCache>
                <c:ptCount val="5"/>
                <c:pt idx="0">
                  <c:v>Sci</c:v>
                </c:pt>
                <c:pt idx="1">
                  <c:v>Eng</c:v>
                </c:pt>
                <c:pt idx="2">
                  <c:v>Maths</c:v>
                </c:pt>
                <c:pt idx="3">
                  <c:v>SS</c:v>
                </c:pt>
                <c:pt idx="4">
                  <c:v>Total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marksheet!$B$3:$K$3</c15:sqref>
                  </c15:fullRef>
                </c:ext>
              </c:extLst>
              <c:f>marksheet!$B$3:$F$3</c:f>
              <c:numCache>
                <c:formatCode>0.00</c:formatCode>
                <c:ptCount val="5"/>
                <c:pt idx="0">
                  <c:v>87</c:v>
                </c:pt>
                <c:pt idx="1">
                  <c:v>84</c:v>
                </c:pt>
                <c:pt idx="2">
                  <c:v>89</c:v>
                </c:pt>
                <c:pt idx="3">
                  <c:v>84</c:v>
                </c:pt>
                <c:pt idx="4">
                  <c:v>344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7F-461B-A19B-5491825843EC}"/>
            </c:ext>
          </c:extLst>
        </c:ser>
        <c:ser>
          <c:idx val="1"/>
          <c:order val="1"/>
          <c:tx>
            <c:strRef>
              <c:f>marksheet!$A$4</c:f>
              <c:strCache>
                <c:ptCount val="1"/>
                <c:pt idx="0">
                  <c:v>vivek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marksheet!$B$2:$K$2</c15:sqref>
                  </c15:fullRef>
                </c:ext>
              </c:extLst>
              <c:f>marksheet!$B$2:$F$2</c:f>
              <c:strCache>
                <c:ptCount val="5"/>
                <c:pt idx="0">
                  <c:v>Sci</c:v>
                </c:pt>
                <c:pt idx="1">
                  <c:v>Eng</c:v>
                </c:pt>
                <c:pt idx="2">
                  <c:v>Maths</c:v>
                </c:pt>
                <c:pt idx="3">
                  <c:v>SS</c:v>
                </c:pt>
                <c:pt idx="4">
                  <c:v>Total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marksheet!$B$4:$K$4</c15:sqref>
                  </c15:fullRef>
                </c:ext>
              </c:extLst>
              <c:f>marksheet!$B$4:$F$4</c:f>
              <c:numCache>
                <c:formatCode>0.00</c:formatCode>
                <c:ptCount val="5"/>
                <c:pt idx="0">
                  <c:v>75</c:v>
                </c:pt>
                <c:pt idx="1">
                  <c:v>79</c:v>
                </c:pt>
                <c:pt idx="2">
                  <c:v>70</c:v>
                </c:pt>
                <c:pt idx="3">
                  <c:v>80</c:v>
                </c:pt>
                <c:pt idx="4">
                  <c:v>304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E7F-461B-A19B-5491825843EC}"/>
            </c:ext>
          </c:extLst>
        </c:ser>
        <c:ser>
          <c:idx val="2"/>
          <c:order val="2"/>
          <c:tx>
            <c:strRef>
              <c:f>marksheet!$A$5</c:f>
              <c:strCache>
                <c:ptCount val="1"/>
                <c:pt idx="0">
                  <c:v>harsh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marksheet!$B$2:$K$2</c15:sqref>
                  </c15:fullRef>
                </c:ext>
              </c:extLst>
              <c:f>marksheet!$B$2:$F$2</c:f>
              <c:strCache>
                <c:ptCount val="5"/>
                <c:pt idx="0">
                  <c:v>Sci</c:v>
                </c:pt>
                <c:pt idx="1">
                  <c:v>Eng</c:v>
                </c:pt>
                <c:pt idx="2">
                  <c:v>Maths</c:v>
                </c:pt>
                <c:pt idx="3">
                  <c:v>SS</c:v>
                </c:pt>
                <c:pt idx="4">
                  <c:v>Total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marksheet!$B$5:$K$5</c15:sqref>
                  </c15:fullRef>
                </c:ext>
              </c:extLst>
              <c:f>marksheet!$B$5:$F$5</c:f>
              <c:numCache>
                <c:formatCode>0.00</c:formatCode>
                <c:ptCount val="5"/>
                <c:pt idx="0">
                  <c:v>80</c:v>
                </c:pt>
                <c:pt idx="1">
                  <c:v>85</c:v>
                </c:pt>
                <c:pt idx="2">
                  <c:v>60</c:v>
                </c:pt>
                <c:pt idx="3">
                  <c:v>58</c:v>
                </c:pt>
                <c:pt idx="4">
                  <c:v>283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E7F-461B-A19B-5491825843EC}"/>
            </c:ext>
          </c:extLst>
        </c:ser>
        <c:ser>
          <c:idx val="3"/>
          <c:order val="3"/>
          <c:tx>
            <c:strRef>
              <c:f>marksheet!$A$6</c:f>
              <c:strCache>
                <c:ptCount val="1"/>
                <c:pt idx="0">
                  <c:v>meet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marksheet!$B$2:$K$2</c15:sqref>
                  </c15:fullRef>
                </c:ext>
              </c:extLst>
              <c:f>marksheet!$B$2:$F$2</c:f>
              <c:strCache>
                <c:ptCount val="5"/>
                <c:pt idx="0">
                  <c:v>Sci</c:v>
                </c:pt>
                <c:pt idx="1">
                  <c:v>Eng</c:v>
                </c:pt>
                <c:pt idx="2">
                  <c:v>Maths</c:v>
                </c:pt>
                <c:pt idx="3">
                  <c:v>SS</c:v>
                </c:pt>
                <c:pt idx="4">
                  <c:v>Total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marksheet!$B$6:$K$6</c15:sqref>
                  </c15:fullRef>
                </c:ext>
              </c:extLst>
              <c:f>marksheet!$B$6:$F$6</c:f>
              <c:numCache>
                <c:formatCode>0.00</c:formatCode>
                <c:ptCount val="5"/>
                <c:pt idx="0">
                  <c:v>95</c:v>
                </c:pt>
                <c:pt idx="1">
                  <c:v>98</c:v>
                </c:pt>
                <c:pt idx="2">
                  <c:v>100</c:v>
                </c:pt>
                <c:pt idx="3">
                  <c:v>98</c:v>
                </c:pt>
                <c:pt idx="4">
                  <c:v>391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E7F-461B-A19B-5491825843EC}"/>
            </c:ext>
          </c:extLst>
        </c:ser>
        <c:ser>
          <c:idx val="4"/>
          <c:order val="4"/>
          <c:tx>
            <c:strRef>
              <c:f>marksheet!$A$7</c:f>
              <c:strCache>
                <c:ptCount val="1"/>
                <c:pt idx="0">
                  <c:v>sarthak 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marksheet!$B$2:$K$2</c15:sqref>
                  </c15:fullRef>
                </c:ext>
              </c:extLst>
              <c:f>marksheet!$B$2:$F$2</c:f>
              <c:strCache>
                <c:ptCount val="5"/>
                <c:pt idx="0">
                  <c:v>Sci</c:v>
                </c:pt>
                <c:pt idx="1">
                  <c:v>Eng</c:v>
                </c:pt>
                <c:pt idx="2">
                  <c:v>Maths</c:v>
                </c:pt>
                <c:pt idx="3">
                  <c:v>SS</c:v>
                </c:pt>
                <c:pt idx="4">
                  <c:v>Total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marksheet!$B$7:$K$7</c15:sqref>
                  </c15:fullRef>
                </c:ext>
              </c:extLst>
              <c:f>marksheet!$B$7:$F$7</c:f>
              <c:numCache>
                <c:formatCode>0.00</c:formatCode>
                <c:ptCount val="5"/>
                <c:pt idx="0">
                  <c:v>65</c:v>
                </c:pt>
                <c:pt idx="1">
                  <c:v>62</c:v>
                </c:pt>
                <c:pt idx="2">
                  <c:v>63</c:v>
                </c:pt>
                <c:pt idx="3">
                  <c:v>72</c:v>
                </c:pt>
                <c:pt idx="4">
                  <c:v>262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E7F-461B-A19B-5491825843EC}"/>
            </c:ext>
          </c:extLst>
        </c:ser>
        <c:ser>
          <c:idx val="5"/>
          <c:order val="5"/>
          <c:tx>
            <c:strRef>
              <c:f>marksheet!$A$8</c:f>
              <c:strCache>
                <c:ptCount val="1"/>
                <c:pt idx="0">
                  <c:v>smit 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marksheet!$B$2:$K$2</c15:sqref>
                  </c15:fullRef>
                </c:ext>
              </c:extLst>
              <c:f>marksheet!$B$2:$F$2</c:f>
              <c:strCache>
                <c:ptCount val="5"/>
                <c:pt idx="0">
                  <c:v>Sci</c:v>
                </c:pt>
                <c:pt idx="1">
                  <c:v>Eng</c:v>
                </c:pt>
                <c:pt idx="2">
                  <c:v>Maths</c:v>
                </c:pt>
                <c:pt idx="3">
                  <c:v>SS</c:v>
                </c:pt>
                <c:pt idx="4">
                  <c:v>Total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marksheet!$B$8:$K$8</c15:sqref>
                  </c15:fullRef>
                </c:ext>
              </c:extLst>
              <c:f>marksheet!$B$8:$F$8</c:f>
              <c:numCache>
                <c:formatCode>0.00</c:formatCode>
                <c:ptCount val="5"/>
                <c:pt idx="0">
                  <c:v>71</c:v>
                </c:pt>
                <c:pt idx="1">
                  <c:v>59</c:v>
                </c:pt>
                <c:pt idx="2">
                  <c:v>87</c:v>
                </c:pt>
                <c:pt idx="3">
                  <c:v>91</c:v>
                </c:pt>
                <c:pt idx="4">
                  <c:v>308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E7F-461B-A19B-5491825843EC}"/>
            </c:ext>
          </c:extLst>
        </c:ser>
        <c:ser>
          <c:idx val="6"/>
          <c:order val="6"/>
          <c:tx>
            <c:strRef>
              <c:f>marksheet!$A$9</c:f>
              <c:strCache>
                <c:ptCount val="1"/>
                <c:pt idx="0">
                  <c:v>dhruvin 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marksheet!$B$2:$K$2</c15:sqref>
                  </c15:fullRef>
                </c:ext>
              </c:extLst>
              <c:f>marksheet!$B$2:$F$2</c:f>
              <c:strCache>
                <c:ptCount val="5"/>
                <c:pt idx="0">
                  <c:v>Sci</c:v>
                </c:pt>
                <c:pt idx="1">
                  <c:v>Eng</c:v>
                </c:pt>
                <c:pt idx="2">
                  <c:v>Maths</c:v>
                </c:pt>
                <c:pt idx="3">
                  <c:v>SS</c:v>
                </c:pt>
                <c:pt idx="4">
                  <c:v>Total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marksheet!$B$9:$K$9</c15:sqref>
                  </c15:fullRef>
                </c:ext>
              </c:extLst>
              <c:f>marksheet!$B$9:$F$9</c:f>
              <c:numCache>
                <c:formatCode>0.00</c:formatCode>
                <c:ptCount val="5"/>
                <c:pt idx="0">
                  <c:v>68</c:v>
                </c:pt>
                <c:pt idx="1">
                  <c:v>67</c:v>
                </c:pt>
                <c:pt idx="2">
                  <c:v>95</c:v>
                </c:pt>
                <c:pt idx="3">
                  <c:v>75</c:v>
                </c:pt>
                <c:pt idx="4">
                  <c:v>305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E7F-461B-A19B-5491825843EC}"/>
            </c:ext>
          </c:extLst>
        </c:ser>
        <c:ser>
          <c:idx val="7"/>
          <c:order val="7"/>
          <c:tx>
            <c:strRef>
              <c:f>marksheet!$A$10</c:f>
              <c:strCache>
                <c:ptCount val="1"/>
                <c:pt idx="0">
                  <c:v>kunj 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marksheet!$B$2:$K$2</c15:sqref>
                  </c15:fullRef>
                </c:ext>
              </c:extLst>
              <c:f>marksheet!$B$2:$F$2</c:f>
              <c:strCache>
                <c:ptCount val="5"/>
                <c:pt idx="0">
                  <c:v>Sci</c:v>
                </c:pt>
                <c:pt idx="1">
                  <c:v>Eng</c:v>
                </c:pt>
                <c:pt idx="2">
                  <c:v>Maths</c:v>
                </c:pt>
                <c:pt idx="3">
                  <c:v>SS</c:v>
                </c:pt>
                <c:pt idx="4">
                  <c:v>Total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marksheet!$B$10:$K$10</c15:sqref>
                  </c15:fullRef>
                </c:ext>
              </c:extLst>
              <c:f>marksheet!$B$10:$F$10</c:f>
              <c:numCache>
                <c:formatCode>0.00</c:formatCode>
                <c:ptCount val="5"/>
                <c:pt idx="0">
                  <c:v>85</c:v>
                </c:pt>
                <c:pt idx="1">
                  <c:v>75</c:v>
                </c:pt>
                <c:pt idx="2">
                  <c:v>78</c:v>
                </c:pt>
                <c:pt idx="3">
                  <c:v>48</c:v>
                </c:pt>
                <c:pt idx="4">
                  <c:v>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E7F-461B-A19B-5491825843EC}"/>
            </c:ext>
          </c:extLst>
        </c:ser>
        <c:ser>
          <c:idx val="8"/>
          <c:order val="8"/>
          <c:tx>
            <c:strRef>
              <c:f>marksheet!$A$11</c:f>
              <c:strCache>
                <c:ptCount val="1"/>
                <c:pt idx="0">
                  <c:v>dev 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marksheet!$B$2:$K$2</c15:sqref>
                  </c15:fullRef>
                </c:ext>
              </c:extLst>
              <c:f>marksheet!$B$2:$F$2</c:f>
              <c:strCache>
                <c:ptCount val="5"/>
                <c:pt idx="0">
                  <c:v>Sci</c:v>
                </c:pt>
                <c:pt idx="1">
                  <c:v>Eng</c:v>
                </c:pt>
                <c:pt idx="2">
                  <c:v>Maths</c:v>
                </c:pt>
                <c:pt idx="3">
                  <c:v>SS</c:v>
                </c:pt>
                <c:pt idx="4">
                  <c:v>Total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marksheet!$B$11:$K$11</c15:sqref>
                  </c15:fullRef>
                </c:ext>
              </c:extLst>
              <c:f>marksheet!$B$11:$F$11</c:f>
              <c:numCache>
                <c:formatCode>0.00</c:formatCode>
                <c:ptCount val="5"/>
                <c:pt idx="0">
                  <c:v>78</c:v>
                </c:pt>
                <c:pt idx="1">
                  <c:v>76</c:v>
                </c:pt>
                <c:pt idx="2">
                  <c:v>81</c:v>
                </c:pt>
                <c:pt idx="3">
                  <c:v>82</c:v>
                </c:pt>
                <c:pt idx="4">
                  <c:v>317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E7F-461B-A19B-5491825843E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760364512"/>
        <c:axId val="760362112"/>
      </c:barChart>
      <c:catAx>
        <c:axId val="760364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800">
                    <a:solidFill>
                      <a:schemeClr val="tx1"/>
                    </a:solidFill>
                  </a:rPr>
                  <a:t>subject of the students</a:t>
                </a:r>
              </a:p>
            </c:rich>
          </c:tx>
          <c:overlay val="0"/>
          <c:spPr>
            <a:solidFill>
              <a:schemeClr val="bg2"/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0362112"/>
        <c:crosses val="autoZero"/>
        <c:auto val="1"/>
        <c:lblAlgn val="ctr"/>
        <c:lblOffset val="100"/>
        <c:noMultiLvlLbl val="0"/>
      </c:catAx>
      <c:valAx>
        <c:axId val="760362112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800">
                    <a:solidFill>
                      <a:schemeClr val="tx1"/>
                    </a:solidFill>
                  </a:rPr>
                  <a:t>marks</a:t>
                </a:r>
                <a:r>
                  <a:rPr lang="en-IN" sz="1800" baseline="0">
                    <a:solidFill>
                      <a:schemeClr val="tx1"/>
                    </a:solidFill>
                  </a:rPr>
                  <a:t> of the students</a:t>
                </a:r>
                <a:endParaRPr lang="en-IN" sz="1800">
                  <a:solidFill>
                    <a:schemeClr val="tx1"/>
                  </a:solidFill>
                </a:endParaRPr>
              </a:p>
            </c:rich>
          </c:tx>
          <c:overlay val="0"/>
          <c:spPr>
            <a:solidFill>
              <a:schemeClr val="bg2"/>
            </a:soli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crossAx val="760364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800">
                <a:solidFill>
                  <a:schemeClr val="tx1"/>
                </a:solidFill>
              </a:rPr>
              <a:t>PURCHASE</a:t>
            </a:r>
            <a:r>
              <a:rPr lang="en-IN" sz="1800" baseline="0">
                <a:solidFill>
                  <a:schemeClr val="tx1"/>
                </a:solidFill>
              </a:rPr>
              <a:t> SHEET OF THE YEAR 2024 AUGUST</a:t>
            </a:r>
          </a:p>
        </c:rich>
      </c:tx>
      <c:overlay val="0"/>
      <c:spPr>
        <a:solidFill>
          <a:schemeClr val="bg2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'purchase sheet'!$B$2</c:f>
              <c:strCache>
                <c:ptCount val="1"/>
                <c:pt idx="0">
                  <c:v>Qty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'purchase sheet'!$A$3:$A$11</c:f>
              <c:strCache>
                <c:ptCount val="9"/>
                <c:pt idx="0">
                  <c:v>Books</c:v>
                </c:pt>
                <c:pt idx="1">
                  <c:v>pen </c:v>
                </c:pt>
                <c:pt idx="2">
                  <c:v>eraser </c:v>
                </c:pt>
                <c:pt idx="3">
                  <c:v>pencil </c:v>
                </c:pt>
                <c:pt idx="4">
                  <c:v>gum stick </c:v>
                </c:pt>
                <c:pt idx="5">
                  <c:v>compass</c:v>
                </c:pt>
                <c:pt idx="6">
                  <c:v>sharpner</c:v>
                </c:pt>
                <c:pt idx="7">
                  <c:v>circle </c:v>
                </c:pt>
                <c:pt idx="8">
                  <c:v>drawing book</c:v>
                </c:pt>
              </c:strCache>
            </c:strRef>
          </c:cat>
          <c:val>
            <c:numRef>
              <c:f>'purchase sheet'!$B$3:$B$11</c:f>
              <c:numCache>
                <c:formatCode>0.00</c:formatCode>
                <c:ptCount val="9"/>
                <c:pt idx="0">
                  <c:v>85</c:v>
                </c:pt>
                <c:pt idx="1">
                  <c:v>30</c:v>
                </c:pt>
                <c:pt idx="2">
                  <c:v>50</c:v>
                </c:pt>
                <c:pt idx="3">
                  <c:v>40</c:v>
                </c:pt>
                <c:pt idx="4">
                  <c:v>10</c:v>
                </c:pt>
                <c:pt idx="5">
                  <c:v>30</c:v>
                </c:pt>
                <c:pt idx="6">
                  <c:v>50</c:v>
                </c:pt>
                <c:pt idx="7">
                  <c:v>15</c:v>
                </c:pt>
                <c:pt idx="8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A0-45C0-919B-0DA71B886C05}"/>
            </c:ext>
          </c:extLst>
        </c:ser>
        <c:ser>
          <c:idx val="1"/>
          <c:order val="1"/>
          <c:tx>
            <c:strRef>
              <c:f>'purchase sheet'!$C$2</c:f>
              <c:strCache>
                <c:ptCount val="1"/>
                <c:pt idx="0">
                  <c:v>Rate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'purchase sheet'!$A$3:$A$11</c:f>
              <c:strCache>
                <c:ptCount val="9"/>
                <c:pt idx="0">
                  <c:v>Books</c:v>
                </c:pt>
                <c:pt idx="1">
                  <c:v>pen </c:v>
                </c:pt>
                <c:pt idx="2">
                  <c:v>eraser </c:v>
                </c:pt>
                <c:pt idx="3">
                  <c:v>pencil </c:v>
                </c:pt>
                <c:pt idx="4">
                  <c:v>gum stick </c:v>
                </c:pt>
                <c:pt idx="5">
                  <c:v>compass</c:v>
                </c:pt>
                <c:pt idx="6">
                  <c:v>sharpner</c:v>
                </c:pt>
                <c:pt idx="7">
                  <c:v>circle </c:v>
                </c:pt>
                <c:pt idx="8">
                  <c:v>drawing book</c:v>
                </c:pt>
              </c:strCache>
            </c:strRef>
          </c:cat>
          <c:val>
            <c:numRef>
              <c:f>'purchase sheet'!$C$3:$C$11</c:f>
              <c:numCache>
                <c:formatCode>"₹"\ #,##0.00</c:formatCode>
                <c:ptCount val="9"/>
                <c:pt idx="0">
                  <c:v>70</c:v>
                </c:pt>
                <c:pt idx="1">
                  <c:v>5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30</c:v>
                </c:pt>
                <c:pt idx="6">
                  <c:v>8</c:v>
                </c:pt>
                <c:pt idx="7">
                  <c:v>15</c:v>
                </c:pt>
                <c:pt idx="8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8A0-45C0-919B-0DA71B886C05}"/>
            </c:ext>
          </c:extLst>
        </c:ser>
        <c:ser>
          <c:idx val="2"/>
          <c:order val="2"/>
          <c:tx>
            <c:strRef>
              <c:f>'purchase sheet'!$D$2</c:f>
              <c:strCache>
                <c:ptCount val="1"/>
                <c:pt idx="0">
                  <c:v>Amount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'purchase sheet'!$A$3:$A$11</c:f>
              <c:strCache>
                <c:ptCount val="9"/>
                <c:pt idx="0">
                  <c:v>Books</c:v>
                </c:pt>
                <c:pt idx="1">
                  <c:v>pen </c:v>
                </c:pt>
                <c:pt idx="2">
                  <c:v>eraser </c:v>
                </c:pt>
                <c:pt idx="3">
                  <c:v>pencil </c:v>
                </c:pt>
                <c:pt idx="4">
                  <c:v>gum stick </c:v>
                </c:pt>
                <c:pt idx="5">
                  <c:v>compass</c:v>
                </c:pt>
                <c:pt idx="6">
                  <c:v>sharpner</c:v>
                </c:pt>
                <c:pt idx="7">
                  <c:v>circle </c:v>
                </c:pt>
                <c:pt idx="8">
                  <c:v>drawing book</c:v>
                </c:pt>
              </c:strCache>
            </c:strRef>
          </c:cat>
          <c:val>
            <c:numRef>
              <c:f>'purchase sheet'!$D$3:$D$11</c:f>
              <c:numCache>
                <c:formatCode>"₹"\ #,##0.00</c:formatCode>
                <c:ptCount val="9"/>
                <c:pt idx="0">
                  <c:v>5950</c:v>
                </c:pt>
                <c:pt idx="1">
                  <c:v>150</c:v>
                </c:pt>
                <c:pt idx="2">
                  <c:v>500</c:v>
                </c:pt>
                <c:pt idx="3">
                  <c:v>400</c:v>
                </c:pt>
                <c:pt idx="4">
                  <c:v>100</c:v>
                </c:pt>
                <c:pt idx="5">
                  <c:v>900</c:v>
                </c:pt>
                <c:pt idx="6">
                  <c:v>400</c:v>
                </c:pt>
                <c:pt idx="7">
                  <c:v>225</c:v>
                </c:pt>
                <c:pt idx="8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8A0-45C0-919B-0DA71B886C05}"/>
            </c:ext>
          </c:extLst>
        </c:ser>
        <c:ser>
          <c:idx val="3"/>
          <c:order val="3"/>
          <c:tx>
            <c:strRef>
              <c:f>'purchase sheet'!$E$2</c:f>
              <c:strCache>
                <c:ptCount val="1"/>
                <c:pt idx="0">
                  <c:v>Disc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'purchase sheet'!$A$3:$A$11</c:f>
              <c:strCache>
                <c:ptCount val="9"/>
                <c:pt idx="0">
                  <c:v>Books</c:v>
                </c:pt>
                <c:pt idx="1">
                  <c:v>pen </c:v>
                </c:pt>
                <c:pt idx="2">
                  <c:v>eraser </c:v>
                </c:pt>
                <c:pt idx="3">
                  <c:v>pencil </c:v>
                </c:pt>
                <c:pt idx="4">
                  <c:v>gum stick </c:v>
                </c:pt>
                <c:pt idx="5">
                  <c:v>compass</c:v>
                </c:pt>
                <c:pt idx="6">
                  <c:v>sharpner</c:v>
                </c:pt>
                <c:pt idx="7">
                  <c:v>circle </c:v>
                </c:pt>
                <c:pt idx="8">
                  <c:v>drawing book</c:v>
                </c:pt>
              </c:strCache>
            </c:strRef>
          </c:cat>
          <c:val>
            <c:numRef>
              <c:f>'purchase sheet'!$E$3:$E$11</c:f>
              <c:numCache>
                <c:formatCode>"₹"\ #,##0.00</c:formatCode>
                <c:ptCount val="9"/>
                <c:pt idx="0">
                  <c:v>297.5</c:v>
                </c:pt>
                <c:pt idx="1">
                  <c:v>7.5</c:v>
                </c:pt>
                <c:pt idx="2">
                  <c:v>25</c:v>
                </c:pt>
                <c:pt idx="3">
                  <c:v>20</c:v>
                </c:pt>
                <c:pt idx="4">
                  <c:v>5</c:v>
                </c:pt>
                <c:pt idx="5">
                  <c:v>45</c:v>
                </c:pt>
                <c:pt idx="6">
                  <c:v>20</c:v>
                </c:pt>
                <c:pt idx="7">
                  <c:v>11.25</c:v>
                </c:pt>
                <c:pt idx="8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8A0-45C0-919B-0DA71B886C05}"/>
            </c:ext>
          </c:extLst>
        </c:ser>
        <c:ser>
          <c:idx val="4"/>
          <c:order val="4"/>
          <c:tx>
            <c:strRef>
              <c:f>'purchase sheet'!$F$2</c:f>
              <c:strCache>
                <c:ptCount val="1"/>
                <c:pt idx="0">
                  <c:v>Gross Amount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'purchase sheet'!$A$3:$A$11</c:f>
              <c:strCache>
                <c:ptCount val="9"/>
                <c:pt idx="0">
                  <c:v>Books</c:v>
                </c:pt>
                <c:pt idx="1">
                  <c:v>pen </c:v>
                </c:pt>
                <c:pt idx="2">
                  <c:v>eraser </c:v>
                </c:pt>
                <c:pt idx="3">
                  <c:v>pencil </c:v>
                </c:pt>
                <c:pt idx="4">
                  <c:v>gum stick </c:v>
                </c:pt>
                <c:pt idx="5">
                  <c:v>compass</c:v>
                </c:pt>
                <c:pt idx="6">
                  <c:v>sharpner</c:v>
                </c:pt>
                <c:pt idx="7">
                  <c:v>circle </c:v>
                </c:pt>
                <c:pt idx="8">
                  <c:v>drawing book</c:v>
                </c:pt>
              </c:strCache>
            </c:strRef>
          </c:cat>
          <c:val>
            <c:numRef>
              <c:f>'purchase sheet'!$F$3:$F$11</c:f>
              <c:numCache>
                <c:formatCode>_("₹"* #,##0.00_);_("₹"* \(#,##0.00\);_("₹"* "-"??_);_(@_)</c:formatCode>
                <c:ptCount val="9"/>
                <c:pt idx="0">
                  <c:v>5652.5</c:v>
                </c:pt>
                <c:pt idx="1">
                  <c:v>142.5</c:v>
                </c:pt>
                <c:pt idx="2">
                  <c:v>475</c:v>
                </c:pt>
                <c:pt idx="3">
                  <c:v>380</c:v>
                </c:pt>
                <c:pt idx="4">
                  <c:v>95</c:v>
                </c:pt>
                <c:pt idx="5">
                  <c:v>855</c:v>
                </c:pt>
                <c:pt idx="6">
                  <c:v>380</c:v>
                </c:pt>
                <c:pt idx="7">
                  <c:v>213.75</c:v>
                </c:pt>
                <c:pt idx="8">
                  <c:v>950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8A0-45C0-919B-0DA71B886C05}"/>
            </c:ext>
          </c:extLst>
        </c:ser>
        <c:ser>
          <c:idx val="5"/>
          <c:order val="5"/>
          <c:tx>
            <c:strRef>
              <c:f>'purchase sheet'!$G$2</c:f>
              <c:strCache>
                <c:ptCount val="1"/>
                <c:pt idx="0">
                  <c:v>Tax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'purchase sheet'!$A$3:$A$11</c:f>
              <c:strCache>
                <c:ptCount val="9"/>
                <c:pt idx="0">
                  <c:v>Books</c:v>
                </c:pt>
                <c:pt idx="1">
                  <c:v>pen </c:v>
                </c:pt>
                <c:pt idx="2">
                  <c:v>eraser </c:v>
                </c:pt>
                <c:pt idx="3">
                  <c:v>pencil </c:v>
                </c:pt>
                <c:pt idx="4">
                  <c:v>gum stick </c:v>
                </c:pt>
                <c:pt idx="5">
                  <c:v>compass</c:v>
                </c:pt>
                <c:pt idx="6">
                  <c:v>sharpner</c:v>
                </c:pt>
                <c:pt idx="7">
                  <c:v>circle </c:v>
                </c:pt>
                <c:pt idx="8">
                  <c:v>drawing book</c:v>
                </c:pt>
              </c:strCache>
            </c:strRef>
          </c:cat>
          <c:val>
            <c:numRef>
              <c:f>'purchase sheet'!$G$3:$G$11</c:f>
              <c:numCache>
                <c:formatCode>_("₹"* #,##0.00_);_("₹"* \(#,##0.00\);_("₹"* "-"??_);_(@_)</c:formatCode>
                <c:ptCount val="9"/>
                <c:pt idx="0">
                  <c:v>678.3</c:v>
                </c:pt>
                <c:pt idx="1">
                  <c:v>17.099999999999998</c:v>
                </c:pt>
                <c:pt idx="2">
                  <c:v>57</c:v>
                </c:pt>
                <c:pt idx="3">
                  <c:v>45.6</c:v>
                </c:pt>
                <c:pt idx="4">
                  <c:v>11.4</c:v>
                </c:pt>
                <c:pt idx="5">
                  <c:v>102.6</c:v>
                </c:pt>
                <c:pt idx="6">
                  <c:v>45.6</c:v>
                </c:pt>
                <c:pt idx="7">
                  <c:v>25.65</c:v>
                </c:pt>
                <c:pt idx="8">
                  <c:v>114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8A0-45C0-919B-0DA71B886C05}"/>
            </c:ext>
          </c:extLst>
        </c:ser>
        <c:ser>
          <c:idx val="6"/>
          <c:order val="6"/>
          <c:tx>
            <c:strRef>
              <c:f>'purchase sheet'!$H$2</c:f>
              <c:strCache>
                <c:ptCount val="1"/>
                <c:pt idx="0">
                  <c:v>Net Amount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'purchase sheet'!$A$3:$A$11</c:f>
              <c:strCache>
                <c:ptCount val="9"/>
                <c:pt idx="0">
                  <c:v>Books</c:v>
                </c:pt>
                <c:pt idx="1">
                  <c:v>pen </c:v>
                </c:pt>
                <c:pt idx="2">
                  <c:v>eraser </c:v>
                </c:pt>
                <c:pt idx="3">
                  <c:v>pencil </c:v>
                </c:pt>
                <c:pt idx="4">
                  <c:v>gum stick </c:v>
                </c:pt>
                <c:pt idx="5">
                  <c:v>compass</c:v>
                </c:pt>
                <c:pt idx="6">
                  <c:v>sharpner</c:v>
                </c:pt>
                <c:pt idx="7">
                  <c:v>circle </c:v>
                </c:pt>
                <c:pt idx="8">
                  <c:v>drawing book</c:v>
                </c:pt>
              </c:strCache>
            </c:strRef>
          </c:cat>
          <c:val>
            <c:numRef>
              <c:f>'purchase sheet'!$H$3:$H$11</c:f>
              <c:numCache>
                <c:formatCode>_("₹"* #,##0.00_);_("₹"* \(#,##0.00\);_("₹"* "-"??_);_(@_)</c:formatCode>
                <c:ptCount val="9"/>
                <c:pt idx="0">
                  <c:v>6330.8</c:v>
                </c:pt>
                <c:pt idx="1">
                  <c:v>159.6</c:v>
                </c:pt>
                <c:pt idx="2">
                  <c:v>532</c:v>
                </c:pt>
                <c:pt idx="3">
                  <c:v>425.6</c:v>
                </c:pt>
                <c:pt idx="4">
                  <c:v>106.4</c:v>
                </c:pt>
                <c:pt idx="5">
                  <c:v>957.6</c:v>
                </c:pt>
                <c:pt idx="6">
                  <c:v>425.6</c:v>
                </c:pt>
                <c:pt idx="7">
                  <c:v>239.4</c:v>
                </c:pt>
                <c:pt idx="8">
                  <c:v>1064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8A0-45C0-919B-0DA71B886C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61232576"/>
        <c:axId val="761222496"/>
      </c:barChart>
      <c:catAx>
        <c:axId val="7612325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600">
                    <a:solidFill>
                      <a:schemeClr val="tx1"/>
                    </a:solidFill>
                  </a:rPr>
                  <a:t>NAME OF THE PRODUCTS</a:t>
                </a:r>
              </a:p>
            </c:rich>
          </c:tx>
          <c:overlay val="0"/>
          <c:spPr>
            <a:solidFill>
              <a:schemeClr val="bg2"/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1222496"/>
        <c:crosses val="autoZero"/>
        <c:auto val="1"/>
        <c:lblAlgn val="ctr"/>
        <c:lblOffset val="100"/>
        <c:noMultiLvlLbl val="0"/>
      </c:catAx>
      <c:valAx>
        <c:axId val="761222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600">
                    <a:solidFill>
                      <a:schemeClr val="tx1"/>
                    </a:solidFill>
                  </a:rPr>
                  <a:t>PRICE</a:t>
                </a:r>
                <a:r>
                  <a:rPr lang="en-IN" sz="1600" baseline="0">
                    <a:solidFill>
                      <a:schemeClr val="tx1"/>
                    </a:solidFill>
                  </a:rPr>
                  <a:t> OF THE PRODUCTS</a:t>
                </a:r>
              </a:p>
            </c:rich>
          </c:tx>
          <c:overlay val="0"/>
          <c:spPr>
            <a:solidFill>
              <a:schemeClr val="bg2"/>
            </a:soli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1232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'purchase sheet'!$B$2</c:f>
              <c:strCache>
                <c:ptCount val="1"/>
                <c:pt idx="0">
                  <c:v>Qty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F73-42FE-9AAE-683754D74E7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F73-42FE-9AAE-683754D74E7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F73-42FE-9AAE-683754D74E7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F73-42FE-9AAE-683754D74E7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F73-42FE-9AAE-683754D74E7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2F73-42FE-9AAE-683754D74E7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2F73-42FE-9AAE-683754D74E7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2F73-42FE-9AAE-683754D74E7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2F73-42FE-9AAE-683754D74E7E}"/>
              </c:ext>
            </c:extLst>
          </c:dPt>
          <c:cat>
            <c:strRef>
              <c:f>'purchase sheet'!$A$3:$A$11</c:f>
              <c:strCache>
                <c:ptCount val="9"/>
                <c:pt idx="0">
                  <c:v>Books</c:v>
                </c:pt>
                <c:pt idx="1">
                  <c:v>pen </c:v>
                </c:pt>
                <c:pt idx="2">
                  <c:v>eraser </c:v>
                </c:pt>
                <c:pt idx="3">
                  <c:v>pencil </c:v>
                </c:pt>
                <c:pt idx="4">
                  <c:v>gum stick </c:v>
                </c:pt>
                <c:pt idx="5">
                  <c:v>compass</c:v>
                </c:pt>
                <c:pt idx="6">
                  <c:v>sharpner</c:v>
                </c:pt>
                <c:pt idx="7">
                  <c:v>circle </c:v>
                </c:pt>
                <c:pt idx="8">
                  <c:v>drawing book</c:v>
                </c:pt>
              </c:strCache>
            </c:strRef>
          </c:cat>
          <c:val>
            <c:numRef>
              <c:f>'purchase sheet'!$B$3:$B$11</c:f>
              <c:numCache>
                <c:formatCode>0.00</c:formatCode>
                <c:ptCount val="9"/>
                <c:pt idx="0">
                  <c:v>85</c:v>
                </c:pt>
                <c:pt idx="1">
                  <c:v>30</c:v>
                </c:pt>
                <c:pt idx="2">
                  <c:v>50</c:v>
                </c:pt>
                <c:pt idx="3">
                  <c:v>40</c:v>
                </c:pt>
                <c:pt idx="4">
                  <c:v>10</c:v>
                </c:pt>
                <c:pt idx="5">
                  <c:v>30</c:v>
                </c:pt>
                <c:pt idx="6">
                  <c:v>50</c:v>
                </c:pt>
                <c:pt idx="7">
                  <c:v>15</c:v>
                </c:pt>
                <c:pt idx="8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15-4CEF-AA84-F9334DFD0A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800">
                <a:solidFill>
                  <a:schemeClr val="tx1"/>
                </a:solidFill>
              </a:rPr>
              <a:t>SALES SHEET OF</a:t>
            </a:r>
            <a:r>
              <a:rPr lang="en-IN" sz="1800" baseline="0">
                <a:solidFill>
                  <a:schemeClr val="tx1"/>
                </a:solidFill>
              </a:rPr>
              <a:t> THE YEAR 2024 AUGUST</a:t>
            </a:r>
            <a:endParaRPr lang="en-IN" sz="1800">
              <a:solidFill>
                <a:schemeClr val="tx1"/>
              </a:solidFill>
            </a:endParaRPr>
          </a:p>
        </c:rich>
      </c:tx>
      <c:overlay val="0"/>
      <c:spPr>
        <a:solidFill>
          <a:schemeClr val="bg2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sheet'!$A$3</c:f>
              <c:strCache>
                <c:ptCount val="1"/>
                <c:pt idx="0">
                  <c:v>Books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('sales sheet'!$B$2:$F$2,'sales sheet'!$I$2)</c:f>
              <c:strCach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Total</c:v>
                </c:pt>
                <c:pt idx="5">
                  <c:v>Average</c:v>
                </c:pt>
              </c:strCache>
              <c:extLst/>
            </c:strRef>
          </c:cat>
          <c:val>
            <c:numRef>
              <c:f>('sales sheet'!$B$3:$F$3,'sales sheet'!$I$3)</c:f>
              <c:numCache>
                <c:formatCode>0.00</c:formatCode>
                <c:ptCount val="6"/>
                <c:pt idx="0">
                  <c:v>123</c:v>
                </c:pt>
                <c:pt idx="1">
                  <c:v>456</c:v>
                </c:pt>
                <c:pt idx="2">
                  <c:v>789</c:v>
                </c:pt>
                <c:pt idx="3">
                  <c:v>741</c:v>
                </c:pt>
                <c:pt idx="4">
                  <c:v>2109</c:v>
                </c:pt>
                <c:pt idx="5">
                  <c:v>527.25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0-999F-42A4-AE96-7E39C51399CA}"/>
            </c:ext>
          </c:extLst>
        </c:ser>
        <c:ser>
          <c:idx val="1"/>
          <c:order val="1"/>
          <c:tx>
            <c:strRef>
              <c:f>'sales sheet'!$A$4</c:f>
              <c:strCache>
                <c:ptCount val="1"/>
                <c:pt idx="0">
                  <c:v>pen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('sales sheet'!$B$2:$F$2,'sales sheet'!$I$2)</c:f>
              <c:strCach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Total</c:v>
                </c:pt>
                <c:pt idx="5">
                  <c:v>Average</c:v>
                </c:pt>
              </c:strCache>
              <c:extLst/>
            </c:strRef>
          </c:cat>
          <c:val>
            <c:numRef>
              <c:f>('sales sheet'!$B$4:$F$4,'sales sheet'!$I$4)</c:f>
              <c:numCache>
                <c:formatCode>0.00</c:formatCode>
                <c:ptCount val="6"/>
                <c:pt idx="0">
                  <c:v>150</c:v>
                </c:pt>
                <c:pt idx="1">
                  <c:v>200</c:v>
                </c:pt>
                <c:pt idx="2">
                  <c:v>210</c:v>
                </c:pt>
                <c:pt idx="3">
                  <c:v>230</c:v>
                </c:pt>
                <c:pt idx="4">
                  <c:v>790</c:v>
                </c:pt>
                <c:pt idx="5">
                  <c:v>197.5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1-999F-42A4-AE96-7E39C51399CA}"/>
            </c:ext>
          </c:extLst>
        </c:ser>
        <c:ser>
          <c:idx val="2"/>
          <c:order val="2"/>
          <c:tx>
            <c:strRef>
              <c:f>'sales sheet'!$A$5</c:f>
              <c:strCache>
                <c:ptCount val="1"/>
                <c:pt idx="0">
                  <c:v>eraser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('sales sheet'!$B$2:$F$2,'sales sheet'!$I$2)</c:f>
              <c:strCach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Total</c:v>
                </c:pt>
                <c:pt idx="5">
                  <c:v>Average</c:v>
                </c:pt>
              </c:strCache>
              <c:extLst/>
            </c:strRef>
          </c:cat>
          <c:val>
            <c:numRef>
              <c:f>('sales sheet'!$B$5:$F$5,'sales sheet'!$I$5)</c:f>
              <c:numCache>
                <c:formatCode>0.00</c:formatCode>
                <c:ptCount val="6"/>
                <c:pt idx="0">
                  <c:v>110</c:v>
                </c:pt>
                <c:pt idx="1">
                  <c:v>115</c:v>
                </c:pt>
                <c:pt idx="2">
                  <c:v>120</c:v>
                </c:pt>
                <c:pt idx="3">
                  <c:v>130</c:v>
                </c:pt>
                <c:pt idx="4">
                  <c:v>475</c:v>
                </c:pt>
                <c:pt idx="5">
                  <c:v>118.75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2-999F-42A4-AE96-7E39C51399CA}"/>
            </c:ext>
          </c:extLst>
        </c:ser>
        <c:ser>
          <c:idx val="3"/>
          <c:order val="3"/>
          <c:tx>
            <c:strRef>
              <c:f>'sales sheet'!$A$6</c:f>
              <c:strCache>
                <c:ptCount val="1"/>
                <c:pt idx="0">
                  <c:v>pencil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('sales sheet'!$B$2:$F$2,'sales sheet'!$I$2)</c:f>
              <c:strCach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Total</c:v>
                </c:pt>
                <c:pt idx="5">
                  <c:v>Average</c:v>
                </c:pt>
              </c:strCache>
              <c:extLst/>
            </c:strRef>
          </c:cat>
          <c:val>
            <c:numRef>
              <c:f>('sales sheet'!$B$6:$F$6,'sales sheet'!$I$6)</c:f>
              <c:numCache>
                <c:formatCode>0.00</c:formatCode>
                <c:ptCount val="6"/>
                <c:pt idx="0">
                  <c:v>200</c:v>
                </c:pt>
                <c:pt idx="1">
                  <c:v>210</c:v>
                </c:pt>
                <c:pt idx="2">
                  <c:v>230</c:v>
                </c:pt>
                <c:pt idx="3">
                  <c:v>250</c:v>
                </c:pt>
                <c:pt idx="4">
                  <c:v>890</c:v>
                </c:pt>
                <c:pt idx="5">
                  <c:v>222.5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3-999F-42A4-AE96-7E39C51399CA}"/>
            </c:ext>
          </c:extLst>
        </c:ser>
        <c:ser>
          <c:idx val="4"/>
          <c:order val="4"/>
          <c:tx>
            <c:strRef>
              <c:f>'sales sheet'!$A$7</c:f>
              <c:strCache>
                <c:ptCount val="1"/>
                <c:pt idx="0">
                  <c:v>gum stick 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('sales sheet'!$B$2:$F$2,'sales sheet'!$I$2)</c:f>
              <c:strCach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Total</c:v>
                </c:pt>
                <c:pt idx="5">
                  <c:v>Average</c:v>
                </c:pt>
              </c:strCache>
              <c:extLst/>
            </c:strRef>
          </c:cat>
          <c:val>
            <c:numRef>
              <c:f>('sales sheet'!$B$7:$F$7,'sales sheet'!$I$7)</c:f>
              <c:numCache>
                <c:formatCode>0.00</c:formatCode>
                <c:ptCount val="6"/>
                <c:pt idx="0">
                  <c:v>180</c:v>
                </c:pt>
                <c:pt idx="1">
                  <c:v>190</c:v>
                </c:pt>
                <c:pt idx="2">
                  <c:v>200</c:v>
                </c:pt>
                <c:pt idx="3">
                  <c:v>250</c:v>
                </c:pt>
                <c:pt idx="4">
                  <c:v>820</c:v>
                </c:pt>
                <c:pt idx="5">
                  <c:v>205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4-999F-42A4-AE96-7E39C51399CA}"/>
            </c:ext>
          </c:extLst>
        </c:ser>
        <c:ser>
          <c:idx val="5"/>
          <c:order val="5"/>
          <c:tx>
            <c:strRef>
              <c:f>'sales sheet'!$A$8</c:f>
              <c:strCache>
                <c:ptCount val="1"/>
                <c:pt idx="0">
                  <c:v>compass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('sales sheet'!$B$2:$F$2,'sales sheet'!$I$2)</c:f>
              <c:strCach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Total</c:v>
                </c:pt>
                <c:pt idx="5">
                  <c:v>Average</c:v>
                </c:pt>
              </c:strCache>
              <c:extLst/>
            </c:strRef>
          </c:cat>
          <c:val>
            <c:numRef>
              <c:f>('sales sheet'!$B$8:$F$8,'sales sheet'!$I$8)</c:f>
              <c:numCache>
                <c:formatCode>0.00</c:formatCode>
                <c:ptCount val="6"/>
                <c:pt idx="0">
                  <c:v>200</c:v>
                </c:pt>
                <c:pt idx="1">
                  <c:v>210</c:v>
                </c:pt>
                <c:pt idx="2">
                  <c:v>230</c:v>
                </c:pt>
                <c:pt idx="3">
                  <c:v>235</c:v>
                </c:pt>
                <c:pt idx="4">
                  <c:v>875</c:v>
                </c:pt>
                <c:pt idx="5">
                  <c:v>218.75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5-999F-42A4-AE96-7E39C51399CA}"/>
            </c:ext>
          </c:extLst>
        </c:ser>
        <c:ser>
          <c:idx val="6"/>
          <c:order val="6"/>
          <c:tx>
            <c:strRef>
              <c:f>'sales sheet'!$A$9</c:f>
              <c:strCache>
                <c:ptCount val="1"/>
                <c:pt idx="0">
                  <c:v>sharpner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('sales sheet'!$B$2:$F$2,'sales sheet'!$I$2)</c:f>
              <c:strCach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Total</c:v>
                </c:pt>
                <c:pt idx="5">
                  <c:v>Average</c:v>
                </c:pt>
              </c:strCache>
              <c:extLst/>
            </c:strRef>
          </c:cat>
          <c:val>
            <c:numRef>
              <c:f>('sales sheet'!$B$9:$F$9,'sales sheet'!$I$9)</c:f>
              <c:numCache>
                <c:formatCode>0.00</c:formatCode>
                <c:ptCount val="6"/>
                <c:pt idx="0">
                  <c:v>180</c:v>
                </c:pt>
                <c:pt idx="1">
                  <c:v>195</c:v>
                </c:pt>
                <c:pt idx="2">
                  <c:v>198</c:v>
                </c:pt>
                <c:pt idx="3">
                  <c:v>200</c:v>
                </c:pt>
                <c:pt idx="4">
                  <c:v>773</c:v>
                </c:pt>
                <c:pt idx="5">
                  <c:v>193.25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6-999F-42A4-AE96-7E39C51399CA}"/>
            </c:ext>
          </c:extLst>
        </c:ser>
        <c:ser>
          <c:idx val="7"/>
          <c:order val="7"/>
          <c:tx>
            <c:strRef>
              <c:f>'sales sheet'!$A$10</c:f>
              <c:strCache>
                <c:ptCount val="1"/>
                <c:pt idx="0">
                  <c:v>circle 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('sales sheet'!$B$2:$F$2,'sales sheet'!$I$2)</c:f>
              <c:strCach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Total</c:v>
                </c:pt>
                <c:pt idx="5">
                  <c:v>Average</c:v>
                </c:pt>
              </c:strCache>
              <c:extLst/>
            </c:strRef>
          </c:cat>
          <c:val>
            <c:numRef>
              <c:f>('sales sheet'!$B$10:$F$10,'sales sheet'!$I$10)</c:f>
              <c:numCache>
                <c:formatCode>0.00</c:formatCode>
                <c:ptCount val="6"/>
                <c:pt idx="0">
                  <c:v>200</c:v>
                </c:pt>
                <c:pt idx="1">
                  <c:v>210</c:v>
                </c:pt>
                <c:pt idx="2">
                  <c:v>215</c:v>
                </c:pt>
                <c:pt idx="3">
                  <c:v>220</c:v>
                </c:pt>
                <c:pt idx="4">
                  <c:v>845</c:v>
                </c:pt>
                <c:pt idx="5">
                  <c:v>211.25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7-999F-42A4-AE96-7E39C51399CA}"/>
            </c:ext>
          </c:extLst>
        </c:ser>
        <c:ser>
          <c:idx val="8"/>
          <c:order val="8"/>
          <c:tx>
            <c:strRef>
              <c:f>'sales sheet'!$A$11</c:f>
              <c:strCache>
                <c:ptCount val="1"/>
                <c:pt idx="0">
                  <c:v>drawing book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('sales sheet'!$B$2:$F$2,'sales sheet'!$I$2)</c:f>
              <c:strCach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Total</c:v>
                </c:pt>
                <c:pt idx="5">
                  <c:v>Average</c:v>
                </c:pt>
              </c:strCache>
              <c:extLst/>
            </c:strRef>
          </c:cat>
          <c:val>
            <c:numRef>
              <c:f>('sales sheet'!$B$11:$F$11,'sales sheet'!$I$11)</c:f>
              <c:numCache>
                <c:formatCode>0.00</c:formatCode>
                <c:ptCount val="6"/>
                <c:pt idx="0">
                  <c:v>300</c:v>
                </c:pt>
                <c:pt idx="1">
                  <c:v>350</c:v>
                </c:pt>
                <c:pt idx="2">
                  <c:v>400</c:v>
                </c:pt>
                <c:pt idx="3">
                  <c:v>450</c:v>
                </c:pt>
                <c:pt idx="4">
                  <c:v>1500</c:v>
                </c:pt>
                <c:pt idx="5">
                  <c:v>375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8-999F-42A4-AE96-7E39C51399C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728095920"/>
        <c:axId val="728096400"/>
      </c:barChart>
      <c:catAx>
        <c:axId val="728095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600">
                    <a:solidFill>
                      <a:schemeClr val="tx1"/>
                    </a:solidFill>
                  </a:rPr>
                  <a:t>PRODUCTS</a:t>
                </a:r>
                <a:r>
                  <a:rPr lang="en-IN" sz="1600" baseline="0">
                    <a:solidFill>
                      <a:schemeClr val="tx1"/>
                    </a:solidFill>
                  </a:rPr>
                  <a:t> TOTAL AND AVERAGE SALES OF THE LAST 4 YEARS</a:t>
                </a:r>
                <a:endParaRPr lang="en-IN" sz="1600">
                  <a:solidFill>
                    <a:schemeClr val="tx1"/>
                  </a:solidFill>
                </a:endParaRPr>
              </a:p>
            </c:rich>
          </c:tx>
          <c:overlay val="0"/>
          <c:spPr>
            <a:solidFill>
              <a:schemeClr val="bg2"/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8096400"/>
        <c:crosses val="autoZero"/>
        <c:auto val="1"/>
        <c:lblAlgn val="ctr"/>
        <c:lblOffset val="100"/>
        <c:noMultiLvlLbl val="0"/>
      </c:catAx>
      <c:valAx>
        <c:axId val="728096400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600">
                    <a:solidFill>
                      <a:schemeClr val="tx1"/>
                    </a:solidFill>
                  </a:rPr>
                  <a:t>TOTAL</a:t>
                </a:r>
                <a:r>
                  <a:rPr lang="en-IN" sz="1600" baseline="0">
                    <a:solidFill>
                      <a:schemeClr val="tx1"/>
                    </a:solidFill>
                  </a:rPr>
                  <a:t> AND AVERAGE SALES OF THE PRODUCTS</a:t>
                </a:r>
              </a:p>
            </c:rich>
          </c:tx>
          <c:overlay val="0"/>
          <c:spPr>
            <a:solidFill>
              <a:schemeClr val="bg2"/>
            </a:solidFill>
            <a:ln>
              <a:solidFill>
                <a:schemeClr val="accent1"/>
              </a:solidFill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crossAx val="728095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800">
                <a:solidFill>
                  <a:schemeClr val="tx1"/>
                </a:solidFill>
              </a:rPr>
              <a:t>salary sheet of the year</a:t>
            </a:r>
            <a:r>
              <a:rPr lang="en-IN" sz="1800" baseline="0">
                <a:solidFill>
                  <a:schemeClr val="tx1"/>
                </a:solidFill>
              </a:rPr>
              <a:t> 2024</a:t>
            </a:r>
            <a:endParaRPr lang="en-IN" sz="1800">
              <a:solidFill>
                <a:schemeClr val="tx1"/>
              </a:solidFill>
            </a:endParaRPr>
          </a:p>
        </c:rich>
      </c:tx>
      <c:overlay val="0"/>
      <c:spPr>
        <a:solidFill>
          <a:schemeClr val="bg2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'salary sheet'!$B$2</c:f>
              <c:strCache>
                <c:ptCount val="1"/>
                <c:pt idx="0">
                  <c:v>Salary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'salary sheet'!$A$3:$A$11</c:f>
              <c:strCache>
                <c:ptCount val="9"/>
                <c:pt idx="0">
                  <c:v>Rahul</c:v>
                </c:pt>
                <c:pt idx="1">
                  <c:v>vivek </c:v>
                </c:pt>
                <c:pt idx="2">
                  <c:v>harsh </c:v>
                </c:pt>
                <c:pt idx="3">
                  <c:v>meet </c:v>
                </c:pt>
                <c:pt idx="4">
                  <c:v>sarthak </c:v>
                </c:pt>
                <c:pt idx="5">
                  <c:v>smit </c:v>
                </c:pt>
                <c:pt idx="6">
                  <c:v>dhruvin </c:v>
                </c:pt>
                <c:pt idx="7">
                  <c:v>kunj </c:v>
                </c:pt>
                <c:pt idx="8">
                  <c:v>dev </c:v>
                </c:pt>
              </c:strCache>
            </c:strRef>
          </c:cat>
          <c:val>
            <c:numRef>
              <c:f>'salary sheet'!$B$3:$B$11</c:f>
              <c:numCache>
                <c:formatCode>_(* #,##0.00_);_(* \(#,##0.00\);_(* "-"??_);_(@_)</c:formatCode>
                <c:ptCount val="9"/>
                <c:pt idx="0">
                  <c:v>54561</c:v>
                </c:pt>
                <c:pt idx="1">
                  <c:v>20000</c:v>
                </c:pt>
                <c:pt idx="2">
                  <c:v>21000</c:v>
                </c:pt>
                <c:pt idx="3">
                  <c:v>11000</c:v>
                </c:pt>
                <c:pt idx="4">
                  <c:v>12500</c:v>
                </c:pt>
                <c:pt idx="5">
                  <c:v>13000</c:v>
                </c:pt>
                <c:pt idx="6">
                  <c:v>18000</c:v>
                </c:pt>
                <c:pt idx="7">
                  <c:v>19000</c:v>
                </c:pt>
                <c:pt idx="8">
                  <c:v>25000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AF-487F-A924-DA8B173AF1F5}"/>
            </c:ext>
          </c:extLst>
        </c:ser>
        <c:ser>
          <c:idx val="13"/>
          <c:order val="13"/>
          <c:tx>
            <c:strRef>
              <c:f>'salary sheet'!$O$2</c:f>
              <c:strCache>
                <c:ptCount val="1"/>
                <c:pt idx="0">
                  <c:v>Basic Salary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'salary sheet'!$A$3:$A$11</c:f>
              <c:strCache>
                <c:ptCount val="9"/>
                <c:pt idx="0">
                  <c:v>Rahul</c:v>
                </c:pt>
                <c:pt idx="1">
                  <c:v>vivek </c:v>
                </c:pt>
                <c:pt idx="2">
                  <c:v>harsh </c:v>
                </c:pt>
                <c:pt idx="3">
                  <c:v>meet </c:v>
                </c:pt>
                <c:pt idx="4">
                  <c:v>sarthak </c:v>
                </c:pt>
                <c:pt idx="5">
                  <c:v>smit </c:v>
                </c:pt>
                <c:pt idx="6">
                  <c:v>dhruvin </c:v>
                </c:pt>
                <c:pt idx="7">
                  <c:v>kunj </c:v>
                </c:pt>
                <c:pt idx="8">
                  <c:v>dev </c:v>
                </c:pt>
              </c:strCache>
            </c:strRef>
          </c:cat>
          <c:val>
            <c:numRef>
              <c:f>'salary sheet'!$O$3:$O$11</c:f>
              <c:numCache>
                <c:formatCode>_(* #,##0.00_);_(* \(#,##0.00\);_(* "-"??_);_(@_)</c:formatCode>
                <c:ptCount val="9"/>
                <c:pt idx="0">
                  <c:v>43648.800000000003</c:v>
                </c:pt>
                <c:pt idx="1">
                  <c:v>18000</c:v>
                </c:pt>
                <c:pt idx="2">
                  <c:v>8400</c:v>
                </c:pt>
                <c:pt idx="3">
                  <c:v>5500</c:v>
                </c:pt>
                <c:pt idx="4">
                  <c:v>7500</c:v>
                </c:pt>
                <c:pt idx="5">
                  <c:v>7800</c:v>
                </c:pt>
                <c:pt idx="6">
                  <c:v>12600</c:v>
                </c:pt>
                <c:pt idx="7">
                  <c:v>7600</c:v>
                </c:pt>
                <c:pt idx="8">
                  <c:v>12500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F6AF-487F-A924-DA8B173AF1F5}"/>
            </c:ext>
          </c:extLst>
        </c:ser>
        <c:ser>
          <c:idx val="18"/>
          <c:order val="18"/>
          <c:tx>
            <c:strRef>
              <c:f>'salary sheet'!$T$2</c:f>
              <c:strCache>
                <c:ptCount val="1"/>
                <c:pt idx="0">
                  <c:v>Net Salary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'salary sheet'!$A$3:$A$11</c:f>
              <c:strCache>
                <c:ptCount val="9"/>
                <c:pt idx="0">
                  <c:v>Rahul</c:v>
                </c:pt>
                <c:pt idx="1">
                  <c:v>vivek </c:v>
                </c:pt>
                <c:pt idx="2">
                  <c:v>harsh </c:v>
                </c:pt>
                <c:pt idx="3">
                  <c:v>meet </c:v>
                </c:pt>
                <c:pt idx="4">
                  <c:v>sarthak </c:v>
                </c:pt>
                <c:pt idx="5">
                  <c:v>smit </c:v>
                </c:pt>
                <c:pt idx="6">
                  <c:v>dhruvin </c:v>
                </c:pt>
                <c:pt idx="7">
                  <c:v>kunj </c:v>
                </c:pt>
                <c:pt idx="8">
                  <c:v>dev </c:v>
                </c:pt>
              </c:strCache>
            </c:strRef>
          </c:cat>
          <c:val>
            <c:numRef>
              <c:f>'salary sheet'!$T$3:$T$11</c:f>
              <c:numCache>
                <c:formatCode>_(* #,##0.00_);_(* \(#,##0.00\);_(* "-"??_);_(@_)</c:formatCode>
                <c:ptCount val="9"/>
                <c:pt idx="0">
                  <c:v>43020.257280000005</c:v>
                </c:pt>
                <c:pt idx="1">
                  <c:v>17740.8</c:v>
                </c:pt>
                <c:pt idx="2">
                  <c:v>8279.0400000000009</c:v>
                </c:pt>
                <c:pt idx="3">
                  <c:v>5420.8</c:v>
                </c:pt>
                <c:pt idx="4">
                  <c:v>7392</c:v>
                </c:pt>
                <c:pt idx="5">
                  <c:v>7687.68</c:v>
                </c:pt>
                <c:pt idx="6">
                  <c:v>12418.56</c:v>
                </c:pt>
                <c:pt idx="7">
                  <c:v>7490.56</c:v>
                </c:pt>
                <c:pt idx="8">
                  <c:v>12320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F6AF-487F-A924-DA8B173AF1F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761782176"/>
        <c:axId val="761779776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'salary sheet'!$C$2</c15:sqref>
                        </c15:formulaRef>
                      </c:ext>
                    </c:extLst>
                    <c:strCache>
                      <c:ptCount val="1"/>
                      <c:pt idx="0">
                        <c:v>01-09-2024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-5400000" spcFirstLastPara="1" vertOverflow="clip" horzOverflow="clip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800" b="0" i="0" u="none" strike="noStrike" kern="1200" baseline="0">
                          <a:solidFill>
                            <a:schemeClr val="tx1">
                              <a:lumMod val="50000"/>
                              <a:lumOff val="50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'salary sheet'!$A$3:$A$11</c15:sqref>
                        </c15:formulaRef>
                      </c:ext>
                    </c:extLst>
                    <c:strCache>
                      <c:ptCount val="9"/>
                      <c:pt idx="0">
                        <c:v>Rahul</c:v>
                      </c:pt>
                      <c:pt idx="1">
                        <c:v>vivek </c:v>
                      </c:pt>
                      <c:pt idx="2">
                        <c:v>harsh </c:v>
                      </c:pt>
                      <c:pt idx="3">
                        <c:v>meet </c:v>
                      </c:pt>
                      <c:pt idx="4">
                        <c:v>sarthak </c:v>
                      </c:pt>
                      <c:pt idx="5">
                        <c:v>smit </c:v>
                      </c:pt>
                      <c:pt idx="6">
                        <c:v>dhruvin </c:v>
                      </c:pt>
                      <c:pt idx="7">
                        <c:v>kunj </c:v>
                      </c:pt>
                      <c:pt idx="8">
                        <c:v>dev 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'salary sheet'!$C$3:$C$11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F6AF-487F-A924-DA8B173AF1F5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'salary sheet'!$D$2</c15:sqref>
                        </c15:formulaRef>
                      </c:ext>
                    </c:extLst>
                    <c:strCache>
                      <c:ptCount val="1"/>
                      <c:pt idx="0">
                        <c:v>02-09-2024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-5400000" spcFirstLastPara="1" vertOverflow="clip" horzOverflow="clip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800" b="0" i="0" u="none" strike="noStrike" kern="1200" baseline="0">
                          <a:solidFill>
                            <a:schemeClr val="tx1">
                              <a:lumMod val="50000"/>
                              <a:lumOff val="50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'salary sheet'!$A$3:$A$11</c15:sqref>
                        </c15:formulaRef>
                      </c:ext>
                    </c:extLst>
                    <c:strCache>
                      <c:ptCount val="9"/>
                      <c:pt idx="0">
                        <c:v>Rahul</c:v>
                      </c:pt>
                      <c:pt idx="1">
                        <c:v>vivek </c:v>
                      </c:pt>
                      <c:pt idx="2">
                        <c:v>harsh </c:v>
                      </c:pt>
                      <c:pt idx="3">
                        <c:v>meet </c:v>
                      </c:pt>
                      <c:pt idx="4">
                        <c:v>sarthak </c:v>
                      </c:pt>
                      <c:pt idx="5">
                        <c:v>smit </c:v>
                      </c:pt>
                      <c:pt idx="6">
                        <c:v>dhruvin </c:v>
                      </c:pt>
                      <c:pt idx="7">
                        <c:v>kunj </c:v>
                      </c:pt>
                      <c:pt idx="8">
                        <c:v>dev 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'salary sheet'!$D$3:$D$11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F6AF-487F-A924-DA8B173AF1F5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'salary sheet'!$E$2</c15:sqref>
                        </c15:formulaRef>
                      </c:ext>
                    </c:extLst>
                    <c:strCache>
                      <c:ptCount val="1"/>
                      <c:pt idx="0">
                        <c:v>03-09-2024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-5400000" spcFirstLastPara="1" vertOverflow="clip" horzOverflow="clip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800" b="0" i="0" u="none" strike="noStrike" kern="1200" baseline="0">
                          <a:solidFill>
                            <a:schemeClr val="tx1">
                              <a:lumMod val="50000"/>
                              <a:lumOff val="50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'salary sheet'!$A$3:$A$11</c15:sqref>
                        </c15:formulaRef>
                      </c:ext>
                    </c:extLst>
                    <c:strCache>
                      <c:ptCount val="9"/>
                      <c:pt idx="0">
                        <c:v>Rahul</c:v>
                      </c:pt>
                      <c:pt idx="1">
                        <c:v>vivek </c:v>
                      </c:pt>
                      <c:pt idx="2">
                        <c:v>harsh </c:v>
                      </c:pt>
                      <c:pt idx="3">
                        <c:v>meet </c:v>
                      </c:pt>
                      <c:pt idx="4">
                        <c:v>sarthak </c:v>
                      </c:pt>
                      <c:pt idx="5">
                        <c:v>smit </c:v>
                      </c:pt>
                      <c:pt idx="6">
                        <c:v>dhruvin </c:v>
                      </c:pt>
                      <c:pt idx="7">
                        <c:v>kunj </c:v>
                      </c:pt>
                      <c:pt idx="8">
                        <c:v>dev 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'salary sheet'!$E$3:$E$11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F6AF-487F-A924-DA8B173AF1F5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'salary sheet'!$F$2</c15:sqref>
                        </c15:formulaRef>
                      </c:ext>
                    </c:extLst>
                    <c:strCache>
                      <c:ptCount val="1"/>
                      <c:pt idx="0">
                        <c:v>04-09-2024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-5400000" spcFirstLastPara="1" vertOverflow="clip" horzOverflow="clip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800" b="0" i="0" u="none" strike="noStrike" kern="1200" baseline="0">
                          <a:solidFill>
                            <a:schemeClr val="tx1">
                              <a:lumMod val="50000"/>
                              <a:lumOff val="50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'salary sheet'!$A$3:$A$11</c15:sqref>
                        </c15:formulaRef>
                      </c:ext>
                    </c:extLst>
                    <c:strCache>
                      <c:ptCount val="9"/>
                      <c:pt idx="0">
                        <c:v>Rahul</c:v>
                      </c:pt>
                      <c:pt idx="1">
                        <c:v>vivek </c:v>
                      </c:pt>
                      <c:pt idx="2">
                        <c:v>harsh </c:v>
                      </c:pt>
                      <c:pt idx="3">
                        <c:v>meet </c:v>
                      </c:pt>
                      <c:pt idx="4">
                        <c:v>sarthak </c:v>
                      </c:pt>
                      <c:pt idx="5">
                        <c:v>smit </c:v>
                      </c:pt>
                      <c:pt idx="6">
                        <c:v>dhruvin </c:v>
                      </c:pt>
                      <c:pt idx="7">
                        <c:v>kunj </c:v>
                      </c:pt>
                      <c:pt idx="8">
                        <c:v>dev 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'salary sheet'!$F$3:$F$11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F6AF-487F-A924-DA8B173AF1F5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'salary sheet'!$G$2</c15:sqref>
                        </c15:formulaRef>
                      </c:ext>
                    </c:extLst>
                    <c:strCache>
                      <c:ptCount val="1"/>
                      <c:pt idx="0">
                        <c:v>05-09-2024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-5400000" spcFirstLastPara="1" vertOverflow="clip" horzOverflow="clip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800" b="0" i="0" u="none" strike="noStrike" kern="1200" baseline="0">
                          <a:solidFill>
                            <a:schemeClr val="tx1">
                              <a:lumMod val="50000"/>
                              <a:lumOff val="50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'salary sheet'!$A$3:$A$11</c15:sqref>
                        </c15:formulaRef>
                      </c:ext>
                    </c:extLst>
                    <c:strCache>
                      <c:ptCount val="9"/>
                      <c:pt idx="0">
                        <c:v>Rahul</c:v>
                      </c:pt>
                      <c:pt idx="1">
                        <c:v>vivek </c:v>
                      </c:pt>
                      <c:pt idx="2">
                        <c:v>harsh </c:v>
                      </c:pt>
                      <c:pt idx="3">
                        <c:v>meet </c:v>
                      </c:pt>
                      <c:pt idx="4">
                        <c:v>sarthak </c:v>
                      </c:pt>
                      <c:pt idx="5">
                        <c:v>smit </c:v>
                      </c:pt>
                      <c:pt idx="6">
                        <c:v>dhruvin </c:v>
                      </c:pt>
                      <c:pt idx="7">
                        <c:v>kunj </c:v>
                      </c:pt>
                      <c:pt idx="8">
                        <c:v>dev 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'salary sheet'!$G$3:$G$11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F6AF-487F-A924-DA8B173AF1F5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'salary sheet'!$H$2</c15:sqref>
                        </c15:formulaRef>
                      </c:ext>
                    </c:extLst>
                    <c:strCache>
                      <c:ptCount val="1"/>
                      <c:pt idx="0">
                        <c:v>06-09-2024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-5400000" spcFirstLastPara="1" vertOverflow="clip" horzOverflow="clip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800" b="0" i="0" u="none" strike="noStrike" kern="1200" baseline="0">
                          <a:solidFill>
                            <a:schemeClr val="tx1">
                              <a:lumMod val="50000"/>
                              <a:lumOff val="50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'salary sheet'!$A$3:$A$11</c15:sqref>
                        </c15:formulaRef>
                      </c:ext>
                    </c:extLst>
                    <c:strCache>
                      <c:ptCount val="9"/>
                      <c:pt idx="0">
                        <c:v>Rahul</c:v>
                      </c:pt>
                      <c:pt idx="1">
                        <c:v>vivek </c:v>
                      </c:pt>
                      <c:pt idx="2">
                        <c:v>harsh </c:v>
                      </c:pt>
                      <c:pt idx="3">
                        <c:v>meet </c:v>
                      </c:pt>
                      <c:pt idx="4">
                        <c:v>sarthak </c:v>
                      </c:pt>
                      <c:pt idx="5">
                        <c:v>smit </c:v>
                      </c:pt>
                      <c:pt idx="6">
                        <c:v>dhruvin </c:v>
                      </c:pt>
                      <c:pt idx="7">
                        <c:v>kunj </c:v>
                      </c:pt>
                      <c:pt idx="8">
                        <c:v>dev 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'salary sheet'!$H$3:$H$11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F6AF-487F-A924-DA8B173AF1F5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'salary sheet'!$I$2</c15:sqref>
                        </c15:formulaRef>
                      </c:ext>
                    </c:extLst>
                    <c:strCache>
                      <c:ptCount val="1"/>
                      <c:pt idx="0">
                        <c:v>07-09-2024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-5400000" spcFirstLastPara="1" vertOverflow="clip" horzOverflow="clip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800" b="0" i="0" u="none" strike="noStrike" kern="1200" baseline="0">
                          <a:solidFill>
                            <a:schemeClr val="tx1">
                              <a:lumMod val="50000"/>
                              <a:lumOff val="50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'salary sheet'!$A$3:$A$11</c15:sqref>
                        </c15:formulaRef>
                      </c:ext>
                    </c:extLst>
                    <c:strCache>
                      <c:ptCount val="9"/>
                      <c:pt idx="0">
                        <c:v>Rahul</c:v>
                      </c:pt>
                      <c:pt idx="1">
                        <c:v>vivek </c:v>
                      </c:pt>
                      <c:pt idx="2">
                        <c:v>harsh </c:v>
                      </c:pt>
                      <c:pt idx="3">
                        <c:v>meet </c:v>
                      </c:pt>
                      <c:pt idx="4">
                        <c:v>sarthak </c:v>
                      </c:pt>
                      <c:pt idx="5">
                        <c:v>smit </c:v>
                      </c:pt>
                      <c:pt idx="6">
                        <c:v>dhruvin </c:v>
                      </c:pt>
                      <c:pt idx="7">
                        <c:v>kunj </c:v>
                      </c:pt>
                      <c:pt idx="8">
                        <c:v>dev 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'salary sheet'!$I$3:$I$11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F6AF-487F-A924-DA8B173AF1F5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'salary sheet'!$J$2</c15:sqref>
                        </c15:formulaRef>
                      </c:ext>
                    </c:extLst>
                    <c:strCache>
                      <c:ptCount val="1"/>
                      <c:pt idx="0">
                        <c:v>08-09-2024</c:v>
                      </c:pt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-5400000" spcFirstLastPara="1" vertOverflow="clip" horzOverflow="clip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800" b="0" i="0" u="none" strike="noStrike" kern="1200" baseline="0">
                          <a:solidFill>
                            <a:schemeClr val="tx1">
                              <a:lumMod val="50000"/>
                              <a:lumOff val="50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'salary sheet'!$A$3:$A$11</c15:sqref>
                        </c15:formulaRef>
                      </c:ext>
                    </c:extLst>
                    <c:strCache>
                      <c:ptCount val="9"/>
                      <c:pt idx="0">
                        <c:v>Rahul</c:v>
                      </c:pt>
                      <c:pt idx="1">
                        <c:v>vivek </c:v>
                      </c:pt>
                      <c:pt idx="2">
                        <c:v>harsh </c:v>
                      </c:pt>
                      <c:pt idx="3">
                        <c:v>meet </c:v>
                      </c:pt>
                      <c:pt idx="4">
                        <c:v>sarthak </c:v>
                      </c:pt>
                      <c:pt idx="5">
                        <c:v>smit </c:v>
                      </c:pt>
                      <c:pt idx="6">
                        <c:v>dhruvin </c:v>
                      </c:pt>
                      <c:pt idx="7">
                        <c:v>kunj </c:v>
                      </c:pt>
                      <c:pt idx="8">
                        <c:v>dev 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'salary sheet'!$J$3:$J$11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F6AF-487F-A924-DA8B173AF1F5}"/>
                  </c:ext>
                </c:extLst>
              </c15:ser>
            </c15:filteredBarSeries>
            <c15:filteredBar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'salary sheet'!$K$2</c15:sqref>
                        </c15:formulaRef>
                      </c:ext>
                    </c:extLst>
                    <c:strCache>
                      <c:ptCount val="1"/>
                      <c:pt idx="0">
                        <c:v>09-09-2024</c:v>
                      </c:pt>
                    </c:strCache>
                  </c:strRef>
                </c:tx>
                <c:spPr>
                  <a:solidFill>
                    <a:schemeClr val="accent4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-5400000" spcFirstLastPara="1" vertOverflow="clip" horzOverflow="clip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800" b="0" i="0" u="none" strike="noStrike" kern="1200" baseline="0">
                          <a:solidFill>
                            <a:schemeClr val="tx1">
                              <a:lumMod val="50000"/>
                              <a:lumOff val="50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'salary sheet'!$A$3:$A$11</c15:sqref>
                        </c15:formulaRef>
                      </c:ext>
                    </c:extLst>
                    <c:strCache>
                      <c:ptCount val="9"/>
                      <c:pt idx="0">
                        <c:v>Rahul</c:v>
                      </c:pt>
                      <c:pt idx="1">
                        <c:v>vivek </c:v>
                      </c:pt>
                      <c:pt idx="2">
                        <c:v>harsh </c:v>
                      </c:pt>
                      <c:pt idx="3">
                        <c:v>meet </c:v>
                      </c:pt>
                      <c:pt idx="4">
                        <c:v>sarthak </c:v>
                      </c:pt>
                      <c:pt idx="5">
                        <c:v>smit </c:v>
                      </c:pt>
                      <c:pt idx="6">
                        <c:v>dhruvin </c:v>
                      </c:pt>
                      <c:pt idx="7">
                        <c:v>kunj </c:v>
                      </c:pt>
                      <c:pt idx="8">
                        <c:v>dev 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'salary sheet'!$K$3:$K$11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F6AF-487F-A924-DA8B173AF1F5}"/>
                  </c:ext>
                </c:extLst>
              </c15:ser>
            </c15:filteredBarSeries>
            <c15:filteredBar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'salary sheet'!$L$2</c15:sqref>
                        </c15:formulaRef>
                      </c:ext>
                    </c:extLst>
                    <c:strCache>
                      <c:ptCount val="1"/>
                      <c:pt idx="0">
                        <c:v>10-09-2024</c:v>
                      </c:pt>
                    </c:strCache>
                  </c:strRef>
                </c:tx>
                <c:spPr>
                  <a:solidFill>
                    <a:schemeClr val="accent5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-5400000" spcFirstLastPara="1" vertOverflow="clip" horzOverflow="clip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800" b="0" i="0" u="none" strike="noStrike" kern="1200" baseline="0">
                          <a:solidFill>
                            <a:schemeClr val="tx1">
                              <a:lumMod val="50000"/>
                              <a:lumOff val="50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'salary sheet'!$A$3:$A$11</c15:sqref>
                        </c15:formulaRef>
                      </c:ext>
                    </c:extLst>
                    <c:strCache>
                      <c:ptCount val="9"/>
                      <c:pt idx="0">
                        <c:v>Rahul</c:v>
                      </c:pt>
                      <c:pt idx="1">
                        <c:v>vivek </c:v>
                      </c:pt>
                      <c:pt idx="2">
                        <c:v>harsh </c:v>
                      </c:pt>
                      <c:pt idx="3">
                        <c:v>meet </c:v>
                      </c:pt>
                      <c:pt idx="4">
                        <c:v>sarthak </c:v>
                      </c:pt>
                      <c:pt idx="5">
                        <c:v>smit </c:v>
                      </c:pt>
                      <c:pt idx="6">
                        <c:v>dhruvin </c:v>
                      </c:pt>
                      <c:pt idx="7">
                        <c:v>kunj </c:v>
                      </c:pt>
                      <c:pt idx="8">
                        <c:v>dev 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'salary sheet'!$L$3:$L$11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F6AF-487F-A924-DA8B173AF1F5}"/>
                  </c:ext>
                </c:extLst>
              </c15:ser>
            </c15:filteredBarSeries>
            <c15:filteredBarSeries>
              <c15:ser>
                <c:idx val="11"/>
                <c:order val="1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'salary sheet'!$M$2</c15:sqref>
                        </c15:formulaRef>
                      </c:ext>
                    </c:extLst>
                    <c:strCache>
                      <c:ptCount val="1"/>
                      <c:pt idx="0">
                        <c:v>Present</c:v>
                      </c:pt>
                    </c:strCache>
                  </c:strRef>
                </c:tx>
                <c:spPr>
                  <a:solidFill>
                    <a:schemeClr val="accent6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-5400000" spcFirstLastPara="1" vertOverflow="clip" horzOverflow="clip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800" b="0" i="0" u="none" strike="noStrike" kern="1200" baseline="0">
                          <a:solidFill>
                            <a:schemeClr val="tx1">
                              <a:lumMod val="50000"/>
                              <a:lumOff val="50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'salary sheet'!$A$3:$A$11</c15:sqref>
                        </c15:formulaRef>
                      </c:ext>
                    </c:extLst>
                    <c:strCache>
                      <c:ptCount val="9"/>
                      <c:pt idx="0">
                        <c:v>Rahul</c:v>
                      </c:pt>
                      <c:pt idx="1">
                        <c:v>vivek </c:v>
                      </c:pt>
                      <c:pt idx="2">
                        <c:v>harsh </c:v>
                      </c:pt>
                      <c:pt idx="3">
                        <c:v>meet </c:v>
                      </c:pt>
                      <c:pt idx="4">
                        <c:v>sarthak </c:v>
                      </c:pt>
                      <c:pt idx="5">
                        <c:v>smit </c:v>
                      </c:pt>
                      <c:pt idx="6">
                        <c:v>dhruvin </c:v>
                      </c:pt>
                      <c:pt idx="7">
                        <c:v>kunj </c:v>
                      </c:pt>
                      <c:pt idx="8">
                        <c:v>dev 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'salary sheet'!$M$3:$M$11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8</c:v>
                      </c:pt>
                      <c:pt idx="1">
                        <c:v>9</c:v>
                      </c:pt>
                      <c:pt idx="2">
                        <c:v>4</c:v>
                      </c:pt>
                      <c:pt idx="3">
                        <c:v>5</c:v>
                      </c:pt>
                      <c:pt idx="4">
                        <c:v>6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4</c:v>
                      </c:pt>
                      <c:pt idx="8">
                        <c:v>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F6AF-487F-A924-DA8B173AF1F5}"/>
                  </c:ext>
                </c:extLst>
              </c15:ser>
            </c15:filteredBarSeries>
            <c15:filteredBarSeries>
              <c15:ser>
                <c:idx val="12"/>
                <c:order val="1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'salary sheet'!$N$2</c15:sqref>
                        </c15:formulaRef>
                      </c:ext>
                    </c:extLst>
                    <c:strCache>
                      <c:ptCount val="1"/>
                      <c:pt idx="0">
                        <c:v>Absent</c:v>
                      </c:pt>
                    </c:strCache>
                  </c:strRef>
                </c:tx>
                <c:spPr>
                  <a:solidFill>
                    <a:schemeClr val="accent1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-5400000" spcFirstLastPara="1" vertOverflow="clip" horzOverflow="clip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800" b="0" i="0" u="none" strike="noStrike" kern="1200" baseline="0">
                          <a:solidFill>
                            <a:schemeClr val="tx1">
                              <a:lumMod val="50000"/>
                              <a:lumOff val="50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'salary sheet'!$A$3:$A$11</c15:sqref>
                        </c15:formulaRef>
                      </c:ext>
                    </c:extLst>
                    <c:strCache>
                      <c:ptCount val="9"/>
                      <c:pt idx="0">
                        <c:v>Rahul</c:v>
                      </c:pt>
                      <c:pt idx="1">
                        <c:v>vivek </c:v>
                      </c:pt>
                      <c:pt idx="2">
                        <c:v>harsh </c:v>
                      </c:pt>
                      <c:pt idx="3">
                        <c:v>meet </c:v>
                      </c:pt>
                      <c:pt idx="4">
                        <c:v>sarthak </c:v>
                      </c:pt>
                      <c:pt idx="5">
                        <c:v>smit </c:v>
                      </c:pt>
                      <c:pt idx="6">
                        <c:v>dhruvin </c:v>
                      </c:pt>
                      <c:pt idx="7">
                        <c:v>kunj </c:v>
                      </c:pt>
                      <c:pt idx="8">
                        <c:v>dev 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'salary sheet'!$N$3:$N$11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2</c:v>
                      </c:pt>
                      <c:pt idx="1">
                        <c:v>1</c:v>
                      </c:pt>
                      <c:pt idx="2">
                        <c:v>6</c:v>
                      </c:pt>
                      <c:pt idx="3">
                        <c:v>5</c:v>
                      </c:pt>
                      <c:pt idx="4">
                        <c:v>4</c:v>
                      </c:pt>
                      <c:pt idx="5">
                        <c:v>4</c:v>
                      </c:pt>
                      <c:pt idx="6">
                        <c:v>3</c:v>
                      </c:pt>
                      <c:pt idx="7">
                        <c:v>6</c:v>
                      </c:pt>
                      <c:pt idx="8">
                        <c:v>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F6AF-487F-A924-DA8B173AF1F5}"/>
                  </c:ext>
                </c:extLst>
              </c15:ser>
            </c15:filteredBarSeries>
            <c15:filteredBarSeries>
              <c15:ser>
                <c:idx val="14"/>
                <c:order val="1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'salary sheet'!$P$2</c15:sqref>
                        </c15:formulaRef>
                      </c:ext>
                    </c:extLst>
                    <c:strCache>
                      <c:ptCount val="1"/>
                      <c:pt idx="0">
                        <c:v>RA</c:v>
                      </c:pt>
                    </c:strCache>
                  </c:strRef>
                </c:tx>
                <c:spPr>
                  <a:solidFill>
                    <a:schemeClr val="accent3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-5400000" spcFirstLastPara="1" vertOverflow="clip" horzOverflow="clip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800" b="0" i="0" u="none" strike="noStrike" kern="1200" baseline="0">
                          <a:solidFill>
                            <a:schemeClr val="tx1">
                              <a:lumMod val="50000"/>
                              <a:lumOff val="50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'salary sheet'!$A$3:$A$11</c15:sqref>
                        </c15:formulaRef>
                      </c:ext>
                    </c:extLst>
                    <c:strCache>
                      <c:ptCount val="9"/>
                      <c:pt idx="0">
                        <c:v>Rahul</c:v>
                      </c:pt>
                      <c:pt idx="1">
                        <c:v>vivek </c:v>
                      </c:pt>
                      <c:pt idx="2">
                        <c:v>harsh </c:v>
                      </c:pt>
                      <c:pt idx="3">
                        <c:v>meet </c:v>
                      </c:pt>
                      <c:pt idx="4">
                        <c:v>sarthak </c:v>
                      </c:pt>
                      <c:pt idx="5">
                        <c:v>smit </c:v>
                      </c:pt>
                      <c:pt idx="6">
                        <c:v>dhruvin </c:v>
                      </c:pt>
                      <c:pt idx="7">
                        <c:v>kunj </c:v>
                      </c:pt>
                      <c:pt idx="8">
                        <c:v>dev 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'salary sheet'!$P$3:$P$11</c15:sqref>
                        </c15:formulaRef>
                      </c:ext>
                    </c:extLst>
                    <c:numCache>
                      <c:formatCode>_(* #,##0.00_);_(* \(#,##0.00\);_(* "-"??_);_(@_)</c:formatCode>
                      <c:ptCount val="9"/>
                      <c:pt idx="0">
                        <c:v>2182.44</c:v>
                      </c:pt>
                      <c:pt idx="1">
                        <c:v>900</c:v>
                      </c:pt>
                      <c:pt idx="2">
                        <c:v>420</c:v>
                      </c:pt>
                      <c:pt idx="3">
                        <c:v>275</c:v>
                      </c:pt>
                      <c:pt idx="4">
                        <c:v>375</c:v>
                      </c:pt>
                      <c:pt idx="5">
                        <c:v>390</c:v>
                      </c:pt>
                      <c:pt idx="6">
                        <c:v>630</c:v>
                      </c:pt>
                      <c:pt idx="7">
                        <c:v>380</c:v>
                      </c:pt>
                      <c:pt idx="8">
                        <c:v>625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F6AF-487F-A924-DA8B173AF1F5}"/>
                  </c:ext>
                </c:extLst>
              </c15:ser>
            </c15:filteredBarSeries>
            <c15:filteredBarSeries>
              <c15:ser>
                <c:idx val="15"/>
                <c:order val="1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'salary sheet'!$Q$2</c15:sqref>
                        </c15:formulaRef>
                      </c:ext>
                    </c:extLst>
                    <c:strCache>
                      <c:ptCount val="1"/>
                      <c:pt idx="0">
                        <c:v>VA</c:v>
                      </c:pt>
                    </c:strCache>
                  </c:strRef>
                </c:tx>
                <c:spPr>
                  <a:solidFill>
                    <a:schemeClr val="accent4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-5400000" spcFirstLastPara="1" vertOverflow="clip" horzOverflow="clip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800" b="0" i="0" u="none" strike="noStrike" kern="1200" baseline="0">
                          <a:solidFill>
                            <a:schemeClr val="tx1">
                              <a:lumMod val="50000"/>
                              <a:lumOff val="50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'salary sheet'!$A$3:$A$11</c15:sqref>
                        </c15:formulaRef>
                      </c:ext>
                    </c:extLst>
                    <c:strCache>
                      <c:ptCount val="9"/>
                      <c:pt idx="0">
                        <c:v>Rahul</c:v>
                      </c:pt>
                      <c:pt idx="1">
                        <c:v>vivek </c:v>
                      </c:pt>
                      <c:pt idx="2">
                        <c:v>harsh </c:v>
                      </c:pt>
                      <c:pt idx="3">
                        <c:v>meet </c:v>
                      </c:pt>
                      <c:pt idx="4">
                        <c:v>sarthak </c:v>
                      </c:pt>
                      <c:pt idx="5">
                        <c:v>smit </c:v>
                      </c:pt>
                      <c:pt idx="6">
                        <c:v>dhruvin </c:v>
                      </c:pt>
                      <c:pt idx="7">
                        <c:v>kunj </c:v>
                      </c:pt>
                      <c:pt idx="8">
                        <c:v>dev 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'salary sheet'!$Q$3:$Q$11</c15:sqref>
                        </c15:formulaRef>
                      </c:ext>
                    </c:extLst>
                    <c:numCache>
                      <c:formatCode>_(* #,##0.00_);_(* \(#,##0.00\);_(* "-"??_);_(@_)</c:formatCode>
                      <c:ptCount val="9"/>
                      <c:pt idx="0">
                        <c:v>3055.4160000000006</c:v>
                      </c:pt>
                      <c:pt idx="1">
                        <c:v>1260.0000000000002</c:v>
                      </c:pt>
                      <c:pt idx="2">
                        <c:v>588</c:v>
                      </c:pt>
                      <c:pt idx="3">
                        <c:v>385.00000000000006</c:v>
                      </c:pt>
                      <c:pt idx="4">
                        <c:v>525</c:v>
                      </c:pt>
                      <c:pt idx="5">
                        <c:v>546</c:v>
                      </c:pt>
                      <c:pt idx="6">
                        <c:v>882.00000000000011</c:v>
                      </c:pt>
                      <c:pt idx="7">
                        <c:v>532</c:v>
                      </c:pt>
                      <c:pt idx="8">
                        <c:v>875.00000000000011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F6AF-487F-A924-DA8B173AF1F5}"/>
                  </c:ext>
                </c:extLst>
              </c15:ser>
            </c15:filteredBarSeries>
            <c15:filteredBarSeries>
              <c15:ser>
                <c:idx val="16"/>
                <c:order val="1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'salary sheet'!$R$2</c15:sqref>
                        </c15:formulaRef>
                      </c:ext>
                    </c:extLst>
                    <c:strCache>
                      <c:ptCount val="1"/>
                      <c:pt idx="0">
                        <c:v>Gross Salary</c:v>
                      </c:pt>
                    </c:strCache>
                  </c:strRef>
                </c:tx>
                <c:spPr>
                  <a:solidFill>
                    <a:schemeClr val="accent5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-5400000" spcFirstLastPara="1" vertOverflow="clip" horzOverflow="clip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800" b="0" i="0" u="none" strike="noStrike" kern="1200" baseline="0">
                          <a:solidFill>
                            <a:schemeClr val="tx1">
                              <a:lumMod val="50000"/>
                              <a:lumOff val="50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'salary sheet'!$A$3:$A$11</c15:sqref>
                        </c15:formulaRef>
                      </c:ext>
                    </c:extLst>
                    <c:strCache>
                      <c:ptCount val="9"/>
                      <c:pt idx="0">
                        <c:v>Rahul</c:v>
                      </c:pt>
                      <c:pt idx="1">
                        <c:v>vivek </c:v>
                      </c:pt>
                      <c:pt idx="2">
                        <c:v>harsh </c:v>
                      </c:pt>
                      <c:pt idx="3">
                        <c:v>meet </c:v>
                      </c:pt>
                      <c:pt idx="4">
                        <c:v>sarthak </c:v>
                      </c:pt>
                      <c:pt idx="5">
                        <c:v>smit </c:v>
                      </c:pt>
                      <c:pt idx="6">
                        <c:v>dhruvin </c:v>
                      </c:pt>
                      <c:pt idx="7">
                        <c:v>kunj </c:v>
                      </c:pt>
                      <c:pt idx="8">
                        <c:v>dev 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'salary sheet'!$R$3:$R$11</c15:sqref>
                        </c15:formulaRef>
                      </c:ext>
                    </c:extLst>
                    <c:numCache>
                      <c:formatCode>_(* #,##0.00_);_(* \(#,##0.00\);_(* "-"??_);_(@_)</c:formatCode>
                      <c:ptCount val="9"/>
                      <c:pt idx="0">
                        <c:v>48886.656000000003</c:v>
                      </c:pt>
                      <c:pt idx="1">
                        <c:v>20160</c:v>
                      </c:pt>
                      <c:pt idx="2">
                        <c:v>9408</c:v>
                      </c:pt>
                      <c:pt idx="3">
                        <c:v>6160</c:v>
                      </c:pt>
                      <c:pt idx="4">
                        <c:v>8400</c:v>
                      </c:pt>
                      <c:pt idx="5">
                        <c:v>8736</c:v>
                      </c:pt>
                      <c:pt idx="6">
                        <c:v>14112</c:v>
                      </c:pt>
                      <c:pt idx="7">
                        <c:v>8512</c:v>
                      </c:pt>
                      <c:pt idx="8">
                        <c:v>14000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F6AF-487F-A924-DA8B173AF1F5}"/>
                  </c:ext>
                </c:extLst>
              </c15:ser>
            </c15:filteredBarSeries>
            <c15:filteredBarSeries>
              <c15:ser>
                <c:idx val="17"/>
                <c:order val="1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'salary sheet'!$S$2</c15:sqref>
                        </c15:formulaRef>
                      </c:ext>
                    </c:extLst>
                    <c:strCache>
                      <c:ptCount val="1"/>
                      <c:pt idx="0">
                        <c:v>PF</c:v>
                      </c:pt>
                    </c:strCache>
                  </c:strRef>
                </c:tx>
                <c:spPr>
                  <a:solidFill>
                    <a:schemeClr val="accent6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-5400000" spcFirstLastPara="1" vertOverflow="clip" horzOverflow="clip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800" b="0" i="0" u="none" strike="noStrike" kern="1200" baseline="0">
                          <a:solidFill>
                            <a:schemeClr val="tx1">
                              <a:lumMod val="50000"/>
                              <a:lumOff val="50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'salary sheet'!$A$3:$A$11</c15:sqref>
                        </c15:formulaRef>
                      </c:ext>
                    </c:extLst>
                    <c:strCache>
                      <c:ptCount val="9"/>
                      <c:pt idx="0">
                        <c:v>Rahul</c:v>
                      </c:pt>
                      <c:pt idx="1">
                        <c:v>vivek </c:v>
                      </c:pt>
                      <c:pt idx="2">
                        <c:v>harsh </c:v>
                      </c:pt>
                      <c:pt idx="3">
                        <c:v>meet </c:v>
                      </c:pt>
                      <c:pt idx="4">
                        <c:v>sarthak </c:v>
                      </c:pt>
                      <c:pt idx="5">
                        <c:v>smit </c:v>
                      </c:pt>
                      <c:pt idx="6">
                        <c:v>dhruvin </c:v>
                      </c:pt>
                      <c:pt idx="7">
                        <c:v>kunj </c:v>
                      </c:pt>
                      <c:pt idx="8">
                        <c:v>dev 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'salary sheet'!$S$3:$S$11</c15:sqref>
                        </c15:formulaRef>
                      </c:ext>
                    </c:extLst>
                    <c:numCache>
                      <c:formatCode>_(* #,##0.00_);_(* \(#,##0.00\);_(* "-"??_);_(@_)</c:formatCode>
                      <c:ptCount val="9"/>
                      <c:pt idx="0">
                        <c:v>5866.3987200000001</c:v>
                      </c:pt>
                      <c:pt idx="1">
                        <c:v>2419.1999999999998</c:v>
                      </c:pt>
                      <c:pt idx="2">
                        <c:v>1128.96</c:v>
                      </c:pt>
                      <c:pt idx="3">
                        <c:v>739.19999999999993</c:v>
                      </c:pt>
                      <c:pt idx="4">
                        <c:v>1008</c:v>
                      </c:pt>
                      <c:pt idx="5">
                        <c:v>1048.32</c:v>
                      </c:pt>
                      <c:pt idx="6">
                        <c:v>1693.4399999999998</c:v>
                      </c:pt>
                      <c:pt idx="7">
                        <c:v>1021.4399999999999</c:v>
                      </c:pt>
                      <c:pt idx="8">
                        <c:v>1680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F6AF-487F-A924-DA8B173AF1F5}"/>
                  </c:ext>
                </c:extLst>
              </c15:ser>
            </c15:filteredBarSeries>
          </c:ext>
        </c:extLst>
      </c:barChart>
      <c:catAx>
        <c:axId val="761782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600">
                    <a:solidFill>
                      <a:schemeClr val="tx1"/>
                    </a:solidFill>
                  </a:rPr>
                  <a:t>name of</a:t>
                </a:r>
                <a:r>
                  <a:rPr lang="en-IN" sz="1600" baseline="0">
                    <a:solidFill>
                      <a:schemeClr val="tx1"/>
                    </a:solidFill>
                  </a:rPr>
                  <a:t> the employes </a:t>
                </a:r>
                <a:endParaRPr lang="en-IN" sz="1600">
                  <a:solidFill>
                    <a:schemeClr val="tx1"/>
                  </a:solidFill>
                </a:endParaRPr>
              </a:p>
            </c:rich>
          </c:tx>
          <c:overlay val="0"/>
          <c:spPr>
            <a:solidFill>
              <a:schemeClr val="bg2"/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1779776"/>
        <c:crosses val="autoZero"/>
        <c:auto val="1"/>
        <c:lblAlgn val="ctr"/>
        <c:lblOffset val="100"/>
        <c:noMultiLvlLbl val="0"/>
      </c:catAx>
      <c:valAx>
        <c:axId val="761779776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600">
                    <a:solidFill>
                      <a:schemeClr val="tx1"/>
                    </a:solidFill>
                  </a:rPr>
                  <a:t>basic</a:t>
                </a:r>
                <a:r>
                  <a:rPr lang="en-IN" sz="1600" baseline="0">
                    <a:solidFill>
                      <a:schemeClr val="tx1"/>
                    </a:solidFill>
                  </a:rPr>
                  <a:t> salary and gross salary</a:t>
                </a:r>
                <a:endParaRPr lang="en-IN" sz="1600">
                  <a:solidFill>
                    <a:schemeClr val="tx1"/>
                  </a:solidFill>
                </a:endParaRPr>
              </a:p>
            </c:rich>
          </c:tx>
          <c:overlay val="0"/>
          <c:spPr>
            <a:solidFill>
              <a:schemeClr val="bg2"/>
            </a:soli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.00_);_(* \(#,##0.00\);_(* &quot;-&quot;??_);_(@_)" sourceLinked="1"/>
        <c:majorTickMark val="none"/>
        <c:minorTickMark val="none"/>
        <c:tickLblPos val="nextTo"/>
        <c:crossAx val="761782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219075</xdr:colOff>
      <xdr:row>12</xdr:row>
      <xdr:rowOff>4761</xdr:rowOff>
    </xdr:from>
    <xdr:to>
      <xdr:col>22</xdr:col>
      <xdr:colOff>19050</xdr:colOff>
      <xdr:row>36</xdr:row>
      <xdr:rowOff>171450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62C8ACD-9734-C18C-6CBE-67EE297C83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12</xdr:row>
      <xdr:rowOff>138111</xdr:rowOff>
    </xdr:from>
    <xdr:to>
      <xdr:col>21</xdr:col>
      <xdr:colOff>276224</xdr:colOff>
      <xdr:row>37</xdr:row>
      <xdr:rowOff>142875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ED1D630-6E49-92A5-970E-2DB317CE81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85725</xdr:colOff>
      <xdr:row>1</xdr:row>
      <xdr:rowOff>42862</xdr:rowOff>
    </xdr:from>
    <xdr:to>
      <xdr:col>16</xdr:col>
      <xdr:colOff>114300</xdr:colOff>
      <xdr:row>25</xdr:row>
      <xdr:rowOff>47625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E226086-00FD-1556-F1B7-7DD636B046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857250</xdr:colOff>
      <xdr:row>11</xdr:row>
      <xdr:rowOff>80961</xdr:rowOff>
    </xdr:from>
    <xdr:to>
      <xdr:col>22</xdr:col>
      <xdr:colOff>19050</xdr:colOff>
      <xdr:row>36</xdr:row>
      <xdr:rowOff>85724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3F05898-D4F6-C891-BFEA-2FA130A3EF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11</xdr:row>
      <xdr:rowOff>80961</xdr:rowOff>
    </xdr:from>
    <xdr:to>
      <xdr:col>20</xdr:col>
      <xdr:colOff>0</xdr:colOff>
      <xdr:row>36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C36B7F-B698-FE0E-4202-D4E4629651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51216D-2A9B-493B-B361-32AFDC53ABEF}" name="Table1" displayName="Table1" ref="A2:K11" totalsRowShown="0" headerRowDxfId="79" dataDxfId="78">
  <autoFilter ref="A2:K11" xr:uid="{A851216D-2A9B-493B-B361-32AFDC53ABEF}"/>
  <tableColumns count="11">
    <tableColumn id="1" xr3:uid="{AD0357F6-827F-4767-B3D3-FFA312F273E1}" name="Name"/>
    <tableColumn id="2" xr3:uid="{6475B81A-9349-4172-B6D5-D6EE898A7BB8}" name="Sci" dataDxfId="77"/>
    <tableColumn id="3" xr3:uid="{9246461D-334A-41D6-8DAD-1DBD0847EEEC}" name="Eng" dataDxfId="76"/>
    <tableColumn id="4" xr3:uid="{67438326-04BB-4198-8E41-94DD7AC38120}" name="Maths" dataDxfId="75"/>
    <tableColumn id="5" xr3:uid="{6FBEEBF9-81EF-47BD-9950-430E1A988A10}" name="SS" dataDxfId="74"/>
    <tableColumn id="6" xr3:uid="{AF2A6F5E-6493-4F3D-AF1A-75E3CD10E1E3}" name="Total" dataDxfId="73">
      <calculatedColumnFormula>SUM(B3:E3)</calculatedColumnFormula>
    </tableColumn>
    <tableColumn id="7" xr3:uid="{4703697B-570A-4143-906B-0206FE754011}" name="Min" dataDxfId="72">
      <calculatedColumnFormula>MIN(B3:E3)</calculatedColumnFormula>
    </tableColumn>
    <tableColumn id="8" xr3:uid="{AFE70779-2C23-41FC-A535-5AA5DB6C8D40}" name="Max" dataDxfId="71">
      <calculatedColumnFormula>MAX(B3:E3)</calculatedColumnFormula>
    </tableColumn>
    <tableColumn id="9" xr3:uid="{FC5B872C-9E0A-480C-833D-C85BBC21366A}" name="Average" dataDxfId="70">
      <calculatedColumnFormula>AVERAGE(B3:E3)</calculatedColumnFormula>
    </tableColumn>
    <tableColumn id="10" xr3:uid="{FAC170D9-C857-41DE-8638-FCFB0BD21073}" name="Rank" dataDxfId="69"/>
    <tableColumn id="11" xr3:uid="{974E5565-1694-416C-9F9B-393309B05B8A}" name="Result" dataDxfId="68">
      <calculatedColumnFormula>IF(I3&lt;70,"fail","pass")</calculatedColumnFormula>
    </tableColumn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FCA4C83-011F-4B96-9B83-ED7148E78B07}" name="Table3" displayName="Table3" ref="A2:H11" totalsRowShown="0" headerRowDxfId="67">
  <autoFilter ref="A2:H11" xr:uid="{1FCA4C83-011F-4B96-9B83-ED7148E78B07}"/>
  <tableColumns count="8">
    <tableColumn id="1" xr3:uid="{358B7F2D-CCBE-4BDB-9BFD-75B94FEB6000}" name="Product"/>
    <tableColumn id="2" xr3:uid="{1C2E7AC1-C266-42EA-A25E-7EC0DA7EB6C4}" name="Qty" dataDxfId="66"/>
    <tableColumn id="3" xr3:uid="{086C0B6A-70CC-48E1-B44D-3B7184191417}" name="Rate" dataDxfId="65"/>
    <tableColumn id="4" xr3:uid="{E5999CC1-B36E-4F92-8652-615DB21035A1}" name="Amount" dataDxfId="64">
      <calculatedColumnFormula>PRODUCT(B3:C3)</calculatedColumnFormula>
    </tableColumn>
    <tableColumn id="5" xr3:uid="{4290C8C8-50E1-46D8-AE0D-C36A4166E1E2}" name="Disc" dataDxfId="63">
      <calculatedColumnFormula>D3*5%</calculatedColumnFormula>
    </tableColumn>
    <tableColumn id="6" xr3:uid="{35629CF3-4309-43EA-8B69-DF36397C5E4F}" name="Gross Amount" dataDxfId="62">
      <calculatedColumnFormula>D3-E3</calculatedColumnFormula>
    </tableColumn>
    <tableColumn id="7" xr3:uid="{B1A45594-EFBF-47F1-8F78-BBCA10434158}" name="Tax" dataDxfId="61">
      <calculatedColumnFormula>F3*12%</calculatedColumnFormula>
    </tableColumn>
    <tableColumn id="8" xr3:uid="{939D880F-94D0-43A5-A066-1F900A1E2882}" name="Net Amount" dataDxfId="60">
      <calculatedColumnFormula>SUM(F3:G3)</calculatedColumnFormula>
    </tableColumn>
  </tableColumns>
  <tableStyleInfo name="TableStyleLight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2901CDB-C1B6-4597-BB94-021AB7AEDD1E}" name="Table4" displayName="Table4" ref="A2:T11" totalsRowShown="0" headerRowDxfId="59" dataDxfId="58" dataCellStyle="Comma">
  <autoFilter ref="A2:T11" xr:uid="{72901CDB-C1B6-4597-BB94-021AB7AEDD1E}"/>
  <tableColumns count="20">
    <tableColumn id="1" xr3:uid="{30FFB217-30E3-4D06-8BCB-A2DFD4A8AD6E}" name="Name" dataDxfId="57"/>
    <tableColumn id="2" xr3:uid="{9522FEE4-D038-4C4E-9EC0-CBCED1D6BA99}" name="Salary" dataDxfId="56" dataCellStyle="Comma"/>
    <tableColumn id="3" xr3:uid="{DFB3B76A-569D-4DF7-A2B7-131217AE582D}" name="01-09-2024" dataDxfId="55"/>
    <tableColumn id="4" xr3:uid="{01E6ADC1-D3D4-4AB5-97EE-78EF5B0F652B}" name="02-09-2024" dataDxfId="54"/>
    <tableColumn id="5" xr3:uid="{B200FFF0-B972-4A80-B953-6F4C9477C69D}" name="03-09-2024" dataDxfId="53"/>
    <tableColumn id="6" xr3:uid="{3B5CC44F-0E50-4F68-819C-E2C522C1AFD8}" name="04-09-2024" dataDxfId="52"/>
    <tableColumn id="7" xr3:uid="{0A47AF17-A04D-4B72-B2CF-61BABD6384B4}" name="05-09-2024" dataDxfId="51"/>
    <tableColumn id="8" xr3:uid="{C97F0178-58C7-40B8-BDA7-D563167E97B0}" name="06-09-2024" dataDxfId="50"/>
    <tableColumn id="9" xr3:uid="{C2CC1ABF-D65B-4DE0-AF75-ECEE193B9F4D}" name="07-09-2024" dataDxfId="49"/>
    <tableColumn id="10" xr3:uid="{D8FC7103-0F5A-4A35-870E-CEB0E5666BAB}" name="08-09-2024" dataDxfId="48"/>
    <tableColumn id="11" xr3:uid="{054051B9-8A3B-4F18-8065-93B65126840C}" name="09-09-2024" dataDxfId="47"/>
    <tableColumn id="12" xr3:uid="{C45ADC27-F8BA-4FC2-B1F2-10553D2F0995}" name="10-09-2024" dataDxfId="46"/>
    <tableColumn id="13" xr3:uid="{67032BE4-942B-41F3-BCE7-50CE361573D1}" name="Present" dataDxfId="45">
      <calculatedColumnFormula>COUNTIF(C3:L3,"p")</calculatedColumnFormula>
    </tableColumn>
    <tableColumn id="14" xr3:uid="{E71D979B-2167-46CE-9084-CEACE869D535}" name="Absent" dataDxfId="44">
      <calculatedColumnFormula>COUNTIF(C3:L3,"a")</calculatedColumnFormula>
    </tableColumn>
    <tableColumn id="15" xr3:uid="{FE1B8483-4EF0-4225-AD84-48113B862C68}" name="Basic Salary" dataDxfId="43" dataCellStyle="Comma">
      <calculatedColumnFormula>B3/10*M3</calculatedColumnFormula>
    </tableColumn>
    <tableColumn id="16" xr3:uid="{44E2446D-2B53-4356-9E77-4553C62A07CB}" name="RA" dataDxfId="42" dataCellStyle="Comma">
      <calculatedColumnFormula>O3*5%</calculatedColumnFormula>
    </tableColumn>
    <tableColumn id="17" xr3:uid="{5A360390-5077-4F2C-A469-F5D92D46FC62}" name="VA" dataDxfId="41" dataCellStyle="Comma">
      <calculatedColumnFormula>O3*7%</calculatedColumnFormula>
    </tableColumn>
    <tableColumn id="18" xr3:uid="{0AE317D6-F179-4EFA-A514-0897ED051440}" name="Gross Salary" dataDxfId="40" dataCellStyle="Comma">
      <calculatedColumnFormula>SUM(O3:Q3)</calculatedColumnFormula>
    </tableColumn>
    <tableColumn id="19" xr3:uid="{F09D31DD-C510-4E74-B6B8-A6B563D1BA1A}" name="PF" dataDxfId="39" dataCellStyle="Comma">
      <calculatedColumnFormula>R3*12%</calculatedColumnFormula>
    </tableColumn>
    <tableColumn id="20" xr3:uid="{E62893AD-B0B0-49D6-915F-6D50462CF91A}" name="Net Salary" dataDxfId="38" dataCellStyle="Comma">
      <calculatedColumnFormula>R3-S3</calculatedColumnFormula>
    </tableColumn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3004F-40DC-44BF-9916-41A202EEF33E}">
  <dimension ref="A1:L24"/>
  <sheetViews>
    <sheetView tabSelected="1" zoomScale="80" zoomScaleNormal="80" workbookViewId="0">
      <selection activeCell="F5" sqref="F5"/>
    </sheetView>
  </sheetViews>
  <sheetFormatPr defaultRowHeight="14.4" x14ac:dyDescent="0.3"/>
  <cols>
    <col min="1" max="1" width="8.6640625" customWidth="1"/>
    <col min="5" max="5" width="10.109375" customWidth="1"/>
    <col min="9" max="9" width="10.5546875" customWidth="1"/>
  </cols>
  <sheetData>
    <row r="1" spans="1:11" x14ac:dyDescent="0.3">
      <c r="A1" s="17" t="s">
        <v>48</v>
      </c>
      <c r="B1" s="17"/>
      <c r="C1" s="17"/>
      <c r="D1" s="17"/>
      <c r="E1" s="17"/>
      <c r="F1" s="17"/>
      <c r="G1" s="17"/>
      <c r="H1" s="17"/>
      <c r="I1" s="17"/>
      <c r="J1" s="17"/>
      <c r="K1" s="17"/>
    </row>
    <row r="2" spans="1:11" ht="15.6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18</v>
      </c>
      <c r="K2" s="2" t="s">
        <v>19</v>
      </c>
    </row>
    <row r="3" spans="1:11" x14ac:dyDescent="0.3">
      <c r="A3" t="s">
        <v>9</v>
      </c>
      <c r="B3" s="12">
        <v>87</v>
      </c>
      <c r="C3" s="12">
        <v>84</v>
      </c>
      <c r="D3" s="12">
        <v>89</v>
      </c>
      <c r="E3" s="12">
        <v>84</v>
      </c>
      <c r="F3" s="12">
        <f t="shared" ref="F3:F11" si="0">SUM(B3:E3)</f>
        <v>344</v>
      </c>
      <c r="G3" s="12">
        <f t="shared" ref="G3:G11" si="1">MIN(B3:E3)</f>
        <v>84</v>
      </c>
      <c r="H3" s="12">
        <f t="shared" ref="H3:H11" si="2">MAX(B3:E3)</f>
        <v>89</v>
      </c>
      <c r="I3" s="12">
        <f t="shared" ref="I3:I11" si="3">AVERAGE(B3:E3)</f>
        <v>86</v>
      </c>
      <c r="J3" s="4">
        <f>RANK(I3,I3:I11)</f>
        <v>2</v>
      </c>
      <c r="K3" s="4" t="str">
        <f t="shared" ref="K3:K11" si="4">IF(I3&lt;70,"fail","pass")</f>
        <v>pass</v>
      </c>
    </row>
    <row r="4" spans="1:11" x14ac:dyDescent="0.3">
      <c r="A4" t="s">
        <v>10</v>
      </c>
      <c r="B4" s="12">
        <v>75</v>
      </c>
      <c r="C4" s="12">
        <v>79</v>
      </c>
      <c r="D4" s="12">
        <v>70</v>
      </c>
      <c r="E4" s="12">
        <v>80</v>
      </c>
      <c r="F4" s="12">
        <f t="shared" si="0"/>
        <v>304</v>
      </c>
      <c r="G4" s="12">
        <f t="shared" si="1"/>
        <v>70</v>
      </c>
      <c r="H4" s="12">
        <f t="shared" si="2"/>
        <v>80</v>
      </c>
      <c r="I4" s="12">
        <f t="shared" si="3"/>
        <v>76</v>
      </c>
      <c r="J4" s="4">
        <f>RANK(I4,I3:I11)</f>
        <v>6</v>
      </c>
      <c r="K4" s="4" t="str">
        <f t="shared" si="4"/>
        <v>pass</v>
      </c>
    </row>
    <row r="5" spans="1:11" x14ac:dyDescent="0.3">
      <c r="A5" t="s">
        <v>11</v>
      </c>
      <c r="B5" s="12">
        <v>80</v>
      </c>
      <c r="C5" s="12">
        <v>85</v>
      </c>
      <c r="D5" s="12">
        <v>60</v>
      </c>
      <c r="E5" s="12">
        <v>58</v>
      </c>
      <c r="F5" s="12">
        <f t="shared" si="0"/>
        <v>283</v>
      </c>
      <c r="G5" s="12">
        <f t="shared" si="1"/>
        <v>58</v>
      </c>
      <c r="H5" s="12">
        <f t="shared" si="2"/>
        <v>85</v>
      </c>
      <c r="I5" s="12">
        <f t="shared" si="3"/>
        <v>70.75</v>
      </c>
      <c r="J5" s="4">
        <f>RANK(I5,I3:I11)</f>
        <v>8</v>
      </c>
      <c r="K5" s="4" t="str">
        <f t="shared" si="4"/>
        <v>pass</v>
      </c>
    </row>
    <row r="6" spans="1:11" x14ac:dyDescent="0.3">
      <c r="A6" t="s">
        <v>17</v>
      </c>
      <c r="B6" s="12">
        <v>95</v>
      </c>
      <c r="C6" s="12">
        <v>98</v>
      </c>
      <c r="D6" s="12">
        <v>100</v>
      </c>
      <c r="E6" s="12">
        <v>98</v>
      </c>
      <c r="F6" s="12">
        <f t="shared" si="0"/>
        <v>391</v>
      </c>
      <c r="G6" s="12">
        <f t="shared" si="1"/>
        <v>95</v>
      </c>
      <c r="H6" s="12">
        <f t="shared" si="2"/>
        <v>100</v>
      </c>
      <c r="I6" s="12">
        <f t="shared" si="3"/>
        <v>97.75</v>
      </c>
      <c r="J6" s="4">
        <f>RANK(I6,I3:I11)</f>
        <v>1</v>
      </c>
      <c r="K6" s="4" t="str">
        <f t="shared" si="4"/>
        <v>pass</v>
      </c>
    </row>
    <row r="7" spans="1:11" x14ac:dyDescent="0.3">
      <c r="A7" t="s">
        <v>12</v>
      </c>
      <c r="B7" s="12">
        <v>65</v>
      </c>
      <c r="C7" s="12">
        <v>62</v>
      </c>
      <c r="D7" s="12">
        <v>63</v>
      </c>
      <c r="E7" s="12">
        <v>72</v>
      </c>
      <c r="F7" s="12">
        <f t="shared" si="0"/>
        <v>262</v>
      </c>
      <c r="G7" s="12">
        <f t="shared" si="1"/>
        <v>62</v>
      </c>
      <c r="H7" s="12">
        <f t="shared" si="2"/>
        <v>72</v>
      </c>
      <c r="I7" s="12">
        <f t="shared" si="3"/>
        <v>65.5</v>
      </c>
      <c r="J7" s="4">
        <f>RANK(I7,I3:I11)</f>
        <v>9</v>
      </c>
      <c r="K7" s="4" t="str">
        <f t="shared" si="4"/>
        <v>fail</v>
      </c>
    </row>
    <row r="8" spans="1:11" x14ac:dyDescent="0.3">
      <c r="A8" t="s">
        <v>13</v>
      </c>
      <c r="B8" s="12">
        <v>71</v>
      </c>
      <c r="C8" s="12">
        <v>59</v>
      </c>
      <c r="D8" s="12">
        <v>87</v>
      </c>
      <c r="E8" s="12">
        <v>91</v>
      </c>
      <c r="F8" s="12">
        <f t="shared" si="0"/>
        <v>308</v>
      </c>
      <c r="G8" s="12">
        <f t="shared" si="1"/>
        <v>59</v>
      </c>
      <c r="H8" s="12">
        <f t="shared" si="2"/>
        <v>91</v>
      </c>
      <c r="I8" s="12">
        <f t="shared" si="3"/>
        <v>77</v>
      </c>
      <c r="J8" s="4">
        <f>RANK(I8,I3:I11)</f>
        <v>4</v>
      </c>
      <c r="K8" s="4" t="str">
        <f t="shared" si="4"/>
        <v>pass</v>
      </c>
    </row>
    <row r="9" spans="1:11" x14ac:dyDescent="0.3">
      <c r="A9" t="s">
        <v>14</v>
      </c>
      <c r="B9" s="12">
        <v>68</v>
      </c>
      <c r="C9" s="12">
        <v>67</v>
      </c>
      <c r="D9" s="12">
        <v>95</v>
      </c>
      <c r="E9" s="12">
        <v>75</v>
      </c>
      <c r="F9" s="12">
        <f t="shared" si="0"/>
        <v>305</v>
      </c>
      <c r="G9" s="12">
        <f t="shared" si="1"/>
        <v>67</v>
      </c>
      <c r="H9" s="12">
        <f t="shared" si="2"/>
        <v>95</v>
      </c>
      <c r="I9" s="12">
        <f t="shared" si="3"/>
        <v>76.25</v>
      </c>
      <c r="J9" s="4">
        <f>RANK(I9,I3:I11)</f>
        <v>5</v>
      </c>
      <c r="K9" s="4" t="str">
        <f t="shared" si="4"/>
        <v>pass</v>
      </c>
    </row>
    <row r="10" spans="1:11" x14ac:dyDescent="0.3">
      <c r="A10" t="s">
        <v>15</v>
      </c>
      <c r="B10" s="12">
        <v>85</v>
      </c>
      <c r="C10" s="12">
        <v>75</v>
      </c>
      <c r="D10" s="12">
        <v>78</v>
      </c>
      <c r="E10" s="12">
        <v>48</v>
      </c>
      <c r="F10" s="12">
        <f t="shared" si="0"/>
        <v>286</v>
      </c>
      <c r="G10" s="12">
        <f t="shared" si="1"/>
        <v>48</v>
      </c>
      <c r="H10" s="12">
        <f t="shared" si="2"/>
        <v>85</v>
      </c>
      <c r="I10" s="12">
        <f t="shared" si="3"/>
        <v>71.5</v>
      </c>
      <c r="J10" s="4">
        <f>RANK(I10,I3:I11)</f>
        <v>7</v>
      </c>
      <c r="K10" s="4" t="str">
        <f t="shared" si="4"/>
        <v>pass</v>
      </c>
    </row>
    <row r="11" spans="1:11" x14ac:dyDescent="0.3">
      <c r="A11" t="s">
        <v>16</v>
      </c>
      <c r="B11" s="12">
        <v>78</v>
      </c>
      <c r="C11" s="12">
        <v>76</v>
      </c>
      <c r="D11" s="12">
        <v>81</v>
      </c>
      <c r="E11" s="12">
        <v>82</v>
      </c>
      <c r="F11" s="12">
        <f t="shared" si="0"/>
        <v>317</v>
      </c>
      <c r="G11" s="12">
        <f t="shared" si="1"/>
        <v>76</v>
      </c>
      <c r="H11" s="12">
        <f t="shared" si="2"/>
        <v>82</v>
      </c>
      <c r="I11" s="12">
        <f t="shared" si="3"/>
        <v>79.25</v>
      </c>
      <c r="J11" s="4">
        <f>RANK(I11,I3:I11)</f>
        <v>3</v>
      </c>
      <c r="K11" s="4" t="str">
        <f t="shared" si="4"/>
        <v>pass</v>
      </c>
    </row>
    <row r="17" spans="3:12" x14ac:dyDescent="0.3">
      <c r="E17" s="3"/>
      <c r="F17" s="3"/>
    </row>
    <row r="19" spans="3:12" x14ac:dyDescent="0.3">
      <c r="C19" s="17"/>
      <c r="D19" s="17"/>
      <c r="E19" s="17"/>
      <c r="F19" s="17"/>
      <c r="G19" s="17"/>
      <c r="H19" s="17"/>
      <c r="I19" s="17"/>
      <c r="J19" s="17"/>
      <c r="K19" s="17"/>
      <c r="L19" s="8"/>
    </row>
    <row r="24" spans="3:12" x14ac:dyDescent="0.3">
      <c r="G24" s="5"/>
    </row>
  </sheetData>
  <mergeCells count="2">
    <mergeCell ref="C19:K19"/>
    <mergeCell ref="A1:K1"/>
  </mergeCells>
  <conditionalFormatting sqref="B3 B6 B10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{24ACC95A-F474-46C0-B3FE-E2CEA72D8B7E}</x14:id>
        </ext>
      </extLst>
    </cfRule>
  </conditionalFormatting>
  <conditionalFormatting sqref="B3:B11">
    <cfRule type="cellIs" dxfId="37" priority="17" operator="greaterThan">
      <formula>80</formula>
    </cfRule>
  </conditionalFormatting>
  <conditionalFormatting sqref="C3:C11">
    <cfRule type="cellIs" dxfId="36" priority="15" operator="lessThan">
      <formula>60</formula>
    </cfRule>
  </conditionalFormatting>
  <conditionalFormatting sqref="C8">
    <cfRule type="dataBar" priority="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{EEFA4EA8-844B-4AB6-A065-2A0EBB373524}</x14:id>
        </ext>
      </extLst>
    </cfRule>
  </conditionalFormatting>
  <conditionalFormatting sqref="D3 D6 D8:D9 D11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{6F226E83-18EF-4148-B50D-2DDE30870E72}</x14:id>
        </ext>
      </extLst>
    </cfRule>
  </conditionalFormatting>
  <conditionalFormatting sqref="D3:D11">
    <cfRule type="cellIs" dxfId="35" priority="13" operator="between">
      <formula>80</formula>
      <formula>100</formula>
    </cfRule>
  </conditionalFormatting>
  <conditionalFormatting sqref="E3:E11">
    <cfRule type="cellIs" dxfId="34" priority="11" operator="equal">
      <formula>80</formula>
    </cfRule>
  </conditionalFormatting>
  <conditionalFormatting sqref="E4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{5DFAABD3-4E8F-4769-A634-51E6D10C1D3B}</x14:id>
        </ext>
      </extLst>
    </cfRule>
  </conditionalFormatting>
  <conditionalFormatting sqref="F3:F1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3" priority="2" operator="between">
      <formula>300</formula>
      <formula>350</formula>
    </cfRule>
    <cfRule type="cellIs" dxfId="32" priority="3" operator="lessThan">
      <formula>300</formula>
    </cfRule>
    <cfRule type="cellIs" dxfId="31" priority="4" operator="greaterThan">
      <formula>350</formula>
    </cfRule>
  </conditionalFormatting>
  <conditionalFormatting sqref="J3:J11">
    <cfRule type="cellIs" dxfId="30" priority="7" operator="between">
      <formula>2</formula>
      <formula>5</formula>
    </cfRule>
    <cfRule type="cellIs" dxfId="29" priority="8" operator="lessThan">
      <formula>2</formula>
    </cfRule>
    <cfRule type="cellIs" dxfId="28" priority="9" operator="greaterThan">
      <formula>5</formula>
    </cfRule>
  </conditionalFormatting>
  <conditionalFormatting sqref="K3:K11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{F5DFA373-2A1E-4799-958C-012417316E81}</x14:id>
        </ext>
      </extLst>
    </cfRule>
    <cfRule type="containsText" dxfId="27" priority="6" operator="containsText" text="p">
      <formula>NOT(ISERROR(SEARCH("p",K3)))</formula>
    </cfRule>
  </conditionalFormatting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4ACC95A-F474-46C0-B3FE-E2CEA72D8B7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B3 B6 B10</xm:sqref>
        </x14:conditionalFormatting>
        <x14:conditionalFormatting xmlns:xm="http://schemas.microsoft.com/office/excel/2006/main">
          <x14:cfRule type="dataBar" id="{EEFA4EA8-844B-4AB6-A065-2A0EBB37352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C8</xm:sqref>
        </x14:conditionalFormatting>
        <x14:conditionalFormatting xmlns:xm="http://schemas.microsoft.com/office/excel/2006/main">
          <x14:cfRule type="dataBar" id="{6F226E83-18EF-4148-B50D-2DDE30870E7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D3 D6 D8:D9 D11</xm:sqref>
        </x14:conditionalFormatting>
        <x14:conditionalFormatting xmlns:xm="http://schemas.microsoft.com/office/excel/2006/main">
          <x14:cfRule type="dataBar" id="{5DFAABD3-4E8F-4769-A634-51E6D10C1D3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E4</xm:sqref>
        </x14:conditionalFormatting>
        <x14:conditionalFormatting xmlns:xm="http://schemas.microsoft.com/office/excel/2006/main">
          <x14:cfRule type="dataBar" id="{F5DFA373-2A1E-4799-958C-012417316E8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K3:K11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479BE-2BDE-45C7-85A4-0BA178B2C02B}">
  <dimension ref="A1:H11"/>
  <sheetViews>
    <sheetView zoomScale="80" zoomScaleNormal="80" workbookViewId="0">
      <selection activeCell="G3" sqref="G3"/>
    </sheetView>
  </sheetViews>
  <sheetFormatPr defaultRowHeight="14.4" x14ac:dyDescent="0.3"/>
  <cols>
    <col min="1" max="1" width="12.6640625" customWidth="1"/>
    <col min="3" max="3" width="11.6640625" customWidth="1"/>
    <col min="4" max="4" width="12" customWidth="1"/>
    <col min="5" max="5" width="13.6640625" customWidth="1"/>
    <col min="6" max="6" width="16.109375" customWidth="1"/>
    <col min="7" max="7" width="13.88671875" customWidth="1"/>
    <col min="8" max="8" width="15.109375" customWidth="1"/>
    <col min="15" max="15" width="9.33203125" customWidth="1"/>
  </cols>
  <sheetData>
    <row r="1" spans="1:8" x14ac:dyDescent="0.3">
      <c r="A1" s="17" t="s">
        <v>50</v>
      </c>
      <c r="B1" s="17"/>
      <c r="C1" s="17"/>
      <c r="D1" s="17"/>
      <c r="E1" s="17"/>
      <c r="F1" s="17"/>
      <c r="G1" s="17"/>
      <c r="H1" s="17"/>
    </row>
    <row r="2" spans="1:8" ht="15.6" x14ac:dyDescent="0.3">
      <c r="A2" s="10" t="s">
        <v>20</v>
      </c>
      <c r="B2" s="10" t="s">
        <v>21</v>
      </c>
      <c r="C2" s="10" t="s">
        <v>22</v>
      </c>
      <c r="D2" s="10" t="s">
        <v>23</v>
      </c>
      <c r="E2" s="10" t="s">
        <v>25</v>
      </c>
      <c r="F2" s="10" t="s">
        <v>26</v>
      </c>
      <c r="G2" s="10" t="s">
        <v>27</v>
      </c>
      <c r="H2" s="10" t="s">
        <v>28</v>
      </c>
    </row>
    <row r="3" spans="1:8" x14ac:dyDescent="0.3">
      <c r="A3" t="s">
        <v>24</v>
      </c>
      <c r="B3" s="5">
        <v>85</v>
      </c>
      <c r="C3" s="6">
        <v>70</v>
      </c>
      <c r="D3" s="6">
        <f t="shared" ref="D3:D11" si="0">PRODUCT(B3:C3)</f>
        <v>5950</v>
      </c>
      <c r="E3" s="6">
        <f t="shared" ref="E3:E11" si="1">D3*5%</f>
        <v>297.5</v>
      </c>
      <c r="F3" s="7">
        <f t="shared" ref="F3:F11" si="2">D3-E3</f>
        <v>5652.5</v>
      </c>
      <c r="G3" s="7">
        <f t="shared" ref="G3:G11" si="3">F3*12%</f>
        <v>678.3</v>
      </c>
      <c r="H3" s="7">
        <f t="shared" ref="H3:H11" si="4">SUM(F3:G3)</f>
        <v>6330.8</v>
      </c>
    </row>
    <row r="4" spans="1:8" x14ac:dyDescent="0.3">
      <c r="A4" t="s">
        <v>29</v>
      </c>
      <c r="B4" s="5">
        <v>30</v>
      </c>
      <c r="C4" s="6">
        <v>5</v>
      </c>
      <c r="D4" s="6">
        <f t="shared" si="0"/>
        <v>150</v>
      </c>
      <c r="E4" s="6">
        <f t="shared" si="1"/>
        <v>7.5</v>
      </c>
      <c r="F4" s="7">
        <f t="shared" si="2"/>
        <v>142.5</v>
      </c>
      <c r="G4" s="7">
        <f t="shared" si="3"/>
        <v>17.099999999999998</v>
      </c>
      <c r="H4" s="7">
        <f t="shared" si="4"/>
        <v>159.6</v>
      </c>
    </row>
    <row r="5" spans="1:8" x14ac:dyDescent="0.3">
      <c r="A5" t="s">
        <v>30</v>
      </c>
      <c r="B5" s="5">
        <v>50</v>
      </c>
      <c r="C5" s="6">
        <v>10</v>
      </c>
      <c r="D5" s="6">
        <f t="shared" si="0"/>
        <v>500</v>
      </c>
      <c r="E5" s="6">
        <f t="shared" si="1"/>
        <v>25</v>
      </c>
      <c r="F5" s="7">
        <f t="shared" si="2"/>
        <v>475</v>
      </c>
      <c r="G5" s="7">
        <f t="shared" si="3"/>
        <v>57</v>
      </c>
      <c r="H5" s="7">
        <f t="shared" si="4"/>
        <v>532</v>
      </c>
    </row>
    <row r="6" spans="1:8" x14ac:dyDescent="0.3">
      <c r="A6" t="s">
        <v>31</v>
      </c>
      <c r="B6" s="5">
        <v>40</v>
      </c>
      <c r="C6" s="6">
        <v>10</v>
      </c>
      <c r="D6" s="6">
        <f t="shared" si="0"/>
        <v>400</v>
      </c>
      <c r="E6" s="6">
        <f t="shared" si="1"/>
        <v>20</v>
      </c>
      <c r="F6" s="7">
        <f t="shared" si="2"/>
        <v>380</v>
      </c>
      <c r="G6" s="7">
        <f t="shared" si="3"/>
        <v>45.6</v>
      </c>
      <c r="H6" s="7">
        <f t="shared" si="4"/>
        <v>425.6</v>
      </c>
    </row>
    <row r="7" spans="1:8" x14ac:dyDescent="0.3">
      <c r="A7" t="s">
        <v>32</v>
      </c>
      <c r="B7" s="5">
        <v>10</v>
      </c>
      <c r="C7" s="6">
        <v>10</v>
      </c>
      <c r="D7" s="6">
        <f t="shared" si="0"/>
        <v>100</v>
      </c>
      <c r="E7" s="6">
        <f t="shared" si="1"/>
        <v>5</v>
      </c>
      <c r="F7" s="7">
        <f t="shared" si="2"/>
        <v>95</v>
      </c>
      <c r="G7" s="7">
        <f t="shared" si="3"/>
        <v>11.4</v>
      </c>
      <c r="H7" s="7">
        <f t="shared" si="4"/>
        <v>106.4</v>
      </c>
    </row>
    <row r="8" spans="1:8" x14ac:dyDescent="0.3">
      <c r="A8" t="s">
        <v>33</v>
      </c>
      <c r="B8" s="5">
        <v>30</v>
      </c>
      <c r="C8" s="6">
        <v>30</v>
      </c>
      <c r="D8" s="6">
        <f t="shared" si="0"/>
        <v>900</v>
      </c>
      <c r="E8" s="6">
        <f t="shared" si="1"/>
        <v>45</v>
      </c>
      <c r="F8" s="7">
        <f t="shared" si="2"/>
        <v>855</v>
      </c>
      <c r="G8" s="7">
        <f t="shared" si="3"/>
        <v>102.6</v>
      </c>
      <c r="H8" s="7">
        <f t="shared" si="4"/>
        <v>957.6</v>
      </c>
    </row>
    <row r="9" spans="1:8" x14ac:dyDescent="0.3">
      <c r="A9" t="s">
        <v>34</v>
      </c>
      <c r="B9" s="5">
        <v>50</v>
      </c>
      <c r="C9" s="6">
        <v>8</v>
      </c>
      <c r="D9" s="6">
        <f t="shared" si="0"/>
        <v>400</v>
      </c>
      <c r="E9" s="6">
        <f t="shared" si="1"/>
        <v>20</v>
      </c>
      <c r="F9" s="7">
        <f t="shared" si="2"/>
        <v>380</v>
      </c>
      <c r="G9" s="7">
        <f t="shared" si="3"/>
        <v>45.6</v>
      </c>
      <c r="H9" s="7">
        <f t="shared" si="4"/>
        <v>425.6</v>
      </c>
    </row>
    <row r="10" spans="1:8" x14ac:dyDescent="0.3">
      <c r="A10" t="s">
        <v>35</v>
      </c>
      <c r="B10" s="5">
        <v>15</v>
      </c>
      <c r="C10" s="6">
        <v>15</v>
      </c>
      <c r="D10" s="6">
        <f t="shared" si="0"/>
        <v>225</v>
      </c>
      <c r="E10" s="6">
        <f t="shared" si="1"/>
        <v>11.25</v>
      </c>
      <c r="F10" s="7">
        <f t="shared" si="2"/>
        <v>213.75</v>
      </c>
      <c r="G10" s="7">
        <f t="shared" si="3"/>
        <v>25.65</v>
      </c>
      <c r="H10" s="7">
        <f t="shared" si="4"/>
        <v>239.4</v>
      </c>
    </row>
    <row r="11" spans="1:8" x14ac:dyDescent="0.3">
      <c r="A11" t="s">
        <v>36</v>
      </c>
      <c r="B11" s="5">
        <v>20</v>
      </c>
      <c r="C11" s="6">
        <v>50</v>
      </c>
      <c r="D11" s="6">
        <f t="shared" si="0"/>
        <v>1000</v>
      </c>
      <c r="E11" s="6">
        <f t="shared" si="1"/>
        <v>50</v>
      </c>
      <c r="F11" s="7">
        <f t="shared" si="2"/>
        <v>950</v>
      </c>
      <c r="G11" s="7">
        <f t="shared" si="3"/>
        <v>114</v>
      </c>
      <c r="H11" s="7">
        <f t="shared" si="4"/>
        <v>1064</v>
      </c>
    </row>
  </sheetData>
  <mergeCells count="1">
    <mergeCell ref="A1:H1"/>
  </mergeCells>
  <conditionalFormatting sqref="C3:C11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{8EB4838D-648C-4130-96D7-4D23E69FBC47}</x14:id>
        </ext>
      </extLst>
    </cfRule>
    <cfRule type="cellIs" dxfId="26" priority="13" operator="between">
      <formula>15</formula>
      <formula>30</formula>
    </cfRule>
    <cfRule type="cellIs" dxfId="25" priority="14" operator="lessThan">
      <formula>15</formula>
    </cfRule>
    <cfRule type="cellIs" dxfId="24" priority="15" operator="lessThan">
      <formula>15</formula>
    </cfRule>
    <cfRule type="cellIs" dxfId="23" priority="16" operator="greaterThan">
      <formula>30</formula>
    </cfRule>
  </conditionalFormatting>
  <conditionalFormatting sqref="D3:D11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{FE77EC5C-A54C-4F00-A509-694F5C0FD3F6}</x14:id>
        </ext>
      </extLst>
    </cfRule>
    <cfRule type="cellIs" dxfId="22" priority="9" operator="between">
      <formula>500</formula>
      <formula>2000</formula>
    </cfRule>
    <cfRule type="cellIs" dxfId="21" priority="10" operator="lessThan">
      <formula>500</formula>
    </cfRule>
    <cfRule type="cellIs" dxfId="20" priority="11" operator="greaterThan">
      <formula>3000</formula>
    </cfRule>
  </conditionalFormatting>
  <conditionalFormatting sqref="E3:E11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{961B8D44-A4E3-4AAF-B467-1D18408E9EC7}</x14:id>
        </ext>
      </extLst>
    </cfRule>
    <cfRule type="cellIs" dxfId="19" priority="7" operator="greaterThan">
      <formula>200</formula>
    </cfRule>
  </conditionalFormatting>
  <conditionalFormatting sqref="F3:F11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{2C78C42F-0AF1-4D4E-A3D9-9861988A7241}</x14:id>
        </ext>
      </extLst>
    </cfRule>
    <cfRule type="cellIs" dxfId="18" priority="2" operator="between">
      <formula>500</formula>
      <formula>1000</formula>
    </cfRule>
  </conditionalFormatting>
  <conditionalFormatting sqref="G3:G11">
    <cfRule type="iconSet" priority="3">
      <iconSet iconSet="3Flags">
        <cfvo type="percent" val="0"/>
        <cfvo type="percent" val="33"/>
        <cfvo type="percent" val="67"/>
      </iconSet>
    </cfRule>
  </conditionalFormatting>
  <conditionalFormatting sqref="H3:H11">
    <cfRule type="dataBar" priority="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{52E2B2D2-4622-401A-A7A7-04EDB97A0F82}</x14:id>
        </ext>
      </extLst>
    </cfRule>
    <cfRule type="cellIs" dxfId="17" priority="5" operator="greaterThan">
      <formula>2000</formula>
    </cfRule>
  </conditionalFormatting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EB4838D-648C-4130-96D7-4D23E69FBC4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C3:C11</xm:sqref>
        </x14:conditionalFormatting>
        <x14:conditionalFormatting xmlns:xm="http://schemas.microsoft.com/office/excel/2006/main">
          <x14:cfRule type="dataBar" id="{FE77EC5C-A54C-4F00-A509-694F5C0FD3F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D3:D11</xm:sqref>
        </x14:conditionalFormatting>
        <x14:conditionalFormatting xmlns:xm="http://schemas.microsoft.com/office/excel/2006/main">
          <x14:cfRule type="dataBar" id="{961B8D44-A4E3-4AAF-B467-1D18408E9EC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E3:E11</xm:sqref>
        </x14:conditionalFormatting>
        <x14:conditionalFormatting xmlns:xm="http://schemas.microsoft.com/office/excel/2006/main">
          <x14:cfRule type="dataBar" id="{2C78C42F-0AF1-4D4E-A3D9-9861988A7241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F3:F11</xm:sqref>
        </x14:conditionalFormatting>
        <x14:conditionalFormatting xmlns:xm="http://schemas.microsoft.com/office/excel/2006/main">
          <x14:cfRule type="dataBar" id="{52E2B2D2-4622-401A-A7A7-04EDB97A0F8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H3:H11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1FBC5-0A82-4453-870E-634E36B4C66D}">
  <dimension ref="A1:I11"/>
  <sheetViews>
    <sheetView zoomScale="80" zoomScaleNormal="80" workbookViewId="0">
      <selection activeCell="E38" sqref="E38"/>
    </sheetView>
  </sheetViews>
  <sheetFormatPr defaultRowHeight="14.4" x14ac:dyDescent="0.3"/>
  <cols>
    <col min="1" max="1" width="13.33203125" customWidth="1"/>
    <col min="9" max="9" width="7.88671875" bestFit="1" customWidth="1"/>
  </cols>
  <sheetData>
    <row r="1" spans="1:9" x14ac:dyDescent="0.3">
      <c r="A1" s="17" t="s">
        <v>49</v>
      </c>
      <c r="B1" s="17"/>
      <c r="C1" s="17"/>
      <c r="D1" s="17"/>
      <c r="E1" s="17"/>
      <c r="F1" s="17"/>
      <c r="G1" s="17"/>
      <c r="H1" s="17"/>
      <c r="I1" s="17"/>
    </row>
    <row r="2" spans="1:9" ht="15.6" x14ac:dyDescent="0.3">
      <c r="A2" s="2" t="s">
        <v>20</v>
      </c>
      <c r="B2" s="2">
        <v>2016</v>
      </c>
      <c r="C2" s="2">
        <v>2017</v>
      </c>
      <c r="D2" s="2">
        <v>2018</v>
      </c>
      <c r="E2" s="2">
        <v>2019</v>
      </c>
      <c r="F2" s="2" t="s">
        <v>5</v>
      </c>
      <c r="G2" s="2" t="s">
        <v>6</v>
      </c>
      <c r="H2" s="2" t="s">
        <v>7</v>
      </c>
      <c r="I2" s="2" t="s">
        <v>8</v>
      </c>
    </row>
    <row r="3" spans="1:9" x14ac:dyDescent="0.3">
      <c r="A3" t="s">
        <v>24</v>
      </c>
      <c r="B3" s="5">
        <v>123</v>
      </c>
      <c r="C3" s="5">
        <v>456</v>
      </c>
      <c r="D3" s="5">
        <v>789</v>
      </c>
      <c r="E3" s="5">
        <v>741</v>
      </c>
      <c r="F3" s="5">
        <f t="shared" ref="F3:F11" si="0">SUM(B3:E3)</f>
        <v>2109</v>
      </c>
      <c r="G3" s="5">
        <f t="shared" ref="G3:G11" si="1">MIN(B3:E3)</f>
        <v>123</v>
      </c>
      <c r="H3" s="5">
        <f t="shared" ref="H3:H11" si="2">MAX(B3:E3)</f>
        <v>789</v>
      </c>
      <c r="I3" s="5">
        <f t="shared" ref="I3:I11" si="3">AVERAGE(B3:E3)</f>
        <v>527.25</v>
      </c>
    </row>
    <row r="4" spans="1:9" x14ac:dyDescent="0.3">
      <c r="A4" t="s">
        <v>29</v>
      </c>
      <c r="B4" s="5">
        <v>150</v>
      </c>
      <c r="C4" s="5">
        <v>200</v>
      </c>
      <c r="D4" s="5">
        <v>210</v>
      </c>
      <c r="E4" s="5">
        <v>230</v>
      </c>
      <c r="F4" s="5">
        <f t="shared" si="0"/>
        <v>790</v>
      </c>
      <c r="G4" s="5">
        <f t="shared" si="1"/>
        <v>150</v>
      </c>
      <c r="H4" s="5">
        <f t="shared" si="2"/>
        <v>230</v>
      </c>
      <c r="I4" s="5">
        <f t="shared" si="3"/>
        <v>197.5</v>
      </c>
    </row>
    <row r="5" spans="1:9" x14ac:dyDescent="0.3">
      <c r="A5" t="s">
        <v>30</v>
      </c>
      <c r="B5" s="5">
        <v>110</v>
      </c>
      <c r="C5" s="5">
        <v>115</v>
      </c>
      <c r="D5" s="5">
        <v>120</v>
      </c>
      <c r="E5" s="5">
        <v>130</v>
      </c>
      <c r="F5" s="5">
        <f t="shared" si="0"/>
        <v>475</v>
      </c>
      <c r="G5" s="5">
        <f t="shared" si="1"/>
        <v>110</v>
      </c>
      <c r="H5" s="5">
        <f t="shared" si="2"/>
        <v>130</v>
      </c>
      <c r="I5" s="5">
        <f t="shared" si="3"/>
        <v>118.75</v>
      </c>
    </row>
    <row r="6" spans="1:9" x14ac:dyDescent="0.3">
      <c r="A6" t="s">
        <v>31</v>
      </c>
      <c r="B6" s="5">
        <v>200</v>
      </c>
      <c r="C6" s="5">
        <v>210</v>
      </c>
      <c r="D6" s="5">
        <v>230</v>
      </c>
      <c r="E6" s="5">
        <v>250</v>
      </c>
      <c r="F6" s="5">
        <f t="shared" si="0"/>
        <v>890</v>
      </c>
      <c r="G6" s="5">
        <f t="shared" si="1"/>
        <v>200</v>
      </c>
      <c r="H6" s="5">
        <f t="shared" si="2"/>
        <v>250</v>
      </c>
      <c r="I6" s="5">
        <f t="shared" si="3"/>
        <v>222.5</v>
      </c>
    </row>
    <row r="7" spans="1:9" x14ac:dyDescent="0.3">
      <c r="A7" t="s">
        <v>32</v>
      </c>
      <c r="B7" s="5">
        <v>180</v>
      </c>
      <c r="C7" s="5">
        <v>190</v>
      </c>
      <c r="D7" s="5">
        <v>200</v>
      </c>
      <c r="E7" s="5">
        <v>250</v>
      </c>
      <c r="F7" s="5">
        <f t="shared" si="0"/>
        <v>820</v>
      </c>
      <c r="G7" s="5">
        <f t="shared" si="1"/>
        <v>180</v>
      </c>
      <c r="H7" s="5">
        <f t="shared" si="2"/>
        <v>250</v>
      </c>
      <c r="I7" s="5">
        <f t="shared" si="3"/>
        <v>205</v>
      </c>
    </row>
    <row r="8" spans="1:9" x14ac:dyDescent="0.3">
      <c r="A8" t="s">
        <v>33</v>
      </c>
      <c r="B8" s="5">
        <v>200</v>
      </c>
      <c r="C8" s="5">
        <v>210</v>
      </c>
      <c r="D8" s="5">
        <v>230</v>
      </c>
      <c r="E8" s="5">
        <v>235</v>
      </c>
      <c r="F8" s="5">
        <f t="shared" si="0"/>
        <v>875</v>
      </c>
      <c r="G8" s="5">
        <f t="shared" si="1"/>
        <v>200</v>
      </c>
      <c r="H8" s="5">
        <f t="shared" si="2"/>
        <v>235</v>
      </c>
      <c r="I8" s="5">
        <f t="shared" si="3"/>
        <v>218.75</v>
      </c>
    </row>
    <row r="9" spans="1:9" x14ac:dyDescent="0.3">
      <c r="A9" t="s">
        <v>34</v>
      </c>
      <c r="B9" s="5">
        <v>180</v>
      </c>
      <c r="C9" s="5">
        <v>195</v>
      </c>
      <c r="D9" s="5">
        <v>198</v>
      </c>
      <c r="E9" s="5">
        <v>200</v>
      </c>
      <c r="F9" s="5">
        <f t="shared" si="0"/>
        <v>773</v>
      </c>
      <c r="G9" s="5">
        <f t="shared" si="1"/>
        <v>180</v>
      </c>
      <c r="H9" s="5">
        <f t="shared" si="2"/>
        <v>200</v>
      </c>
      <c r="I9" s="5">
        <f t="shared" si="3"/>
        <v>193.25</v>
      </c>
    </row>
    <row r="10" spans="1:9" x14ac:dyDescent="0.3">
      <c r="A10" t="s">
        <v>35</v>
      </c>
      <c r="B10" s="5">
        <v>200</v>
      </c>
      <c r="C10" s="5">
        <v>210</v>
      </c>
      <c r="D10" s="5">
        <v>215</v>
      </c>
      <c r="E10" s="5">
        <v>220</v>
      </c>
      <c r="F10" s="5">
        <f t="shared" si="0"/>
        <v>845</v>
      </c>
      <c r="G10" s="5">
        <f t="shared" si="1"/>
        <v>200</v>
      </c>
      <c r="H10" s="5">
        <f t="shared" si="2"/>
        <v>220</v>
      </c>
      <c r="I10" s="5">
        <f t="shared" si="3"/>
        <v>211.25</v>
      </c>
    </row>
    <row r="11" spans="1:9" x14ac:dyDescent="0.3">
      <c r="A11" t="s">
        <v>36</v>
      </c>
      <c r="B11" s="5">
        <v>300</v>
      </c>
      <c r="C11" s="5">
        <v>350</v>
      </c>
      <c r="D11" s="5">
        <v>400</v>
      </c>
      <c r="E11" s="5">
        <v>450</v>
      </c>
      <c r="F11" s="5">
        <f t="shared" si="0"/>
        <v>1500</v>
      </c>
      <c r="G11" s="5">
        <f t="shared" si="1"/>
        <v>300</v>
      </c>
      <c r="H11" s="5">
        <f t="shared" si="2"/>
        <v>450</v>
      </c>
      <c r="I11" s="5">
        <f t="shared" si="3"/>
        <v>375</v>
      </c>
    </row>
  </sheetData>
  <mergeCells count="1">
    <mergeCell ref="A1:I1"/>
  </mergeCells>
  <conditionalFormatting sqref="B3:B11">
    <cfRule type="cellIs" dxfId="16" priority="9" operator="greaterThan">
      <formula>180</formula>
    </cfRule>
  </conditionalFormatting>
  <conditionalFormatting sqref="B3:I11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{60D26842-C8E6-44F4-B667-BEA3D6883BA0}</x14:id>
        </ext>
      </extLst>
    </cfRule>
  </conditionalFormatting>
  <conditionalFormatting sqref="C3:C11">
    <cfRule type="cellIs" dxfId="15" priority="8" operator="lessThan">
      <formula>120</formula>
    </cfRule>
  </conditionalFormatting>
  <conditionalFormatting sqref="D3:D11">
    <cfRule type="cellIs" dxfId="14" priority="7" operator="between">
      <formula>180</formula>
      <formula>200</formula>
    </cfRule>
  </conditionalFormatting>
  <conditionalFormatting sqref="E3:E11">
    <cfRule type="cellIs" dxfId="13" priority="6" operator="equal">
      <formula>250</formula>
    </cfRule>
  </conditionalFormatting>
  <conditionalFormatting sqref="F3:F11">
    <cfRule type="cellIs" dxfId="12" priority="5" operator="greaterThan">
      <formula>1500</formula>
    </cfRule>
  </conditionalFormatting>
  <conditionalFormatting sqref="G3:G11">
    <cfRule type="cellIs" dxfId="11" priority="4" operator="lessThan">
      <formula>150</formula>
    </cfRule>
  </conditionalFormatting>
  <conditionalFormatting sqref="H3:H11">
    <cfRule type="cellIs" dxfId="10" priority="3" operator="greaterThan">
      <formula>500</formula>
    </cfRule>
  </conditionalFormatting>
  <conditionalFormatting sqref="I3:I11">
    <cfRule type="cellIs" dxfId="9" priority="2" operator="between">
      <formula>250</formula>
      <formula>500</formula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0D26842-C8E6-44F4-B667-BEA3D6883BA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B3:I11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421B8-D9FE-410F-BE7D-233F780E7C33}">
  <dimension ref="A1:AC11"/>
  <sheetViews>
    <sheetView zoomScale="81" workbookViewId="0">
      <selection activeCell="E6" sqref="E6"/>
    </sheetView>
  </sheetViews>
  <sheetFormatPr defaultRowHeight="14.4" x14ac:dyDescent="0.3"/>
  <cols>
    <col min="2" max="2" width="10" bestFit="1" customWidth="1"/>
    <col min="3" max="12" width="13.6640625" customWidth="1"/>
    <col min="13" max="13" width="10.33203125" customWidth="1"/>
    <col min="14" max="14" width="9.5546875" customWidth="1"/>
    <col min="15" max="15" width="14.5546875" customWidth="1"/>
    <col min="16" max="17" width="10.44140625" bestFit="1" customWidth="1"/>
    <col min="18" max="18" width="14.6640625" customWidth="1"/>
    <col min="19" max="19" width="11.44140625" customWidth="1"/>
    <col min="20" max="20" width="12.6640625" customWidth="1"/>
    <col min="21" max="21" width="11.33203125" customWidth="1"/>
    <col min="22" max="22" width="10.5546875" customWidth="1"/>
    <col min="23" max="24" width="10.44140625" bestFit="1" customWidth="1"/>
    <col min="25" max="29" width="10.44140625" customWidth="1"/>
  </cols>
  <sheetData>
    <row r="1" spans="1:29" x14ac:dyDescent="0.3">
      <c r="A1" s="17" t="s">
        <v>51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</row>
    <row r="2" spans="1:29" ht="15.6" x14ac:dyDescent="0.3">
      <c r="A2" s="14" t="s">
        <v>0</v>
      </c>
      <c r="B2" s="2" t="s">
        <v>37</v>
      </c>
      <c r="C2" s="16" t="s">
        <v>52</v>
      </c>
      <c r="D2" s="16" t="s">
        <v>53</v>
      </c>
      <c r="E2" s="16" t="s">
        <v>54</v>
      </c>
      <c r="F2" s="16" t="s">
        <v>55</v>
      </c>
      <c r="G2" s="16" t="s">
        <v>56</v>
      </c>
      <c r="H2" s="16" t="s">
        <v>57</v>
      </c>
      <c r="I2" s="16" t="s">
        <v>58</v>
      </c>
      <c r="J2" s="16" t="s">
        <v>59</v>
      </c>
      <c r="K2" s="16" t="s">
        <v>60</v>
      </c>
      <c r="L2" s="16" t="s">
        <v>61</v>
      </c>
      <c r="M2" s="2" t="s">
        <v>38</v>
      </c>
      <c r="N2" s="2" t="s">
        <v>39</v>
      </c>
      <c r="O2" s="2" t="s">
        <v>42</v>
      </c>
      <c r="P2" s="11" t="s">
        <v>43</v>
      </c>
      <c r="Q2" s="11" t="s">
        <v>44</v>
      </c>
      <c r="R2" s="11" t="s">
        <v>45</v>
      </c>
      <c r="S2" s="11" t="s">
        <v>46</v>
      </c>
      <c r="T2" s="11" t="s">
        <v>47</v>
      </c>
      <c r="U2" s="1"/>
      <c r="V2" s="1"/>
      <c r="W2" s="1"/>
      <c r="X2" s="1"/>
      <c r="Y2" s="1"/>
      <c r="Z2" s="1"/>
      <c r="AA2" s="1"/>
      <c r="AB2" s="1"/>
      <c r="AC2" s="1"/>
    </row>
    <row r="3" spans="1:29" x14ac:dyDescent="0.3">
      <c r="A3" s="15" t="s">
        <v>9</v>
      </c>
      <c r="B3" s="9">
        <v>54561</v>
      </c>
      <c r="C3" s="15" t="s">
        <v>40</v>
      </c>
      <c r="D3" s="15" t="s">
        <v>41</v>
      </c>
      <c r="E3" s="15" t="s">
        <v>40</v>
      </c>
      <c r="F3" s="15" t="s">
        <v>40</v>
      </c>
      <c r="G3" s="15" t="s">
        <v>40</v>
      </c>
      <c r="H3" s="15" t="s">
        <v>40</v>
      </c>
      <c r="I3" s="15" t="s">
        <v>40</v>
      </c>
      <c r="J3" s="15" t="s">
        <v>40</v>
      </c>
      <c r="K3" s="15" t="s">
        <v>41</v>
      </c>
      <c r="L3" s="15" t="s">
        <v>40</v>
      </c>
      <c r="M3" s="4">
        <f t="shared" ref="M3:M11" si="0">COUNTIF(C3:L3,"p")</f>
        <v>8</v>
      </c>
      <c r="N3" s="4">
        <f t="shared" ref="N3:N11" si="1">COUNTIF(C3:L3,"a")</f>
        <v>2</v>
      </c>
      <c r="O3" s="13">
        <f t="shared" ref="O3:O11" si="2">B3/10*M3</f>
        <v>43648.800000000003</v>
      </c>
      <c r="P3" s="13">
        <f t="shared" ref="P3:P11" si="3">O3*5%</f>
        <v>2182.44</v>
      </c>
      <c r="Q3" s="13">
        <f t="shared" ref="Q3:Q11" si="4">O3*7%</f>
        <v>3055.4160000000006</v>
      </c>
      <c r="R3" s="13">
        <f t="shared" ref="R3:R11" si="5">SUM(O3:Q3)</f>
        <v>48886.656000000003</v>
      </c>
      <c r="S3" s="9">
        <f t="shared" ref="S3:S11" si="6">R3*12%</f>
        <v>5866.3987200000001</v>
      </c>
      <c r="T3" s="9">
        <f t="shared" ref="T3:T11" si="7">R3-S3</f>
        <v>43020.257280000005</v>
      </c>
    </row>
    <row r="4" spans="1:29" x14ac:dyDescent="0.3">
      <c r="A4" s="15" t="s">
        <v>10</v>
      </c>
      <c r="B4" s="9">
        <v>20000</v>
      </c>
      <c r="C4" s="15" t="s">
        <v>40</v>
      </c>
      <c r="D4" s="15" t="s">
        <v>40</v>
      </c>
      <c r="E4" s="15" t="s">
        <v>40</v>
      </c>
      <c r="F4" s="15" t="s">
        <v>40</v>
      </c>
      <c r="G4" s="15" t="s">
        <v>40</v>
      </c>
      <c r="H4" s="15" t="s">
        <v>41</v>
      </c>
      <c r="I4" s="15" t="s">
        <v>40</v>
      </c>
      <c r="J4" s="15" t="s">
        <v>40</v>
      </c>
      <c r="K4" s="15" t="s">
        <v>40</v>
      </c>
      <c r="L4" s="15" t="s">
        <v>40</v>
      </c>
      <c r="M4" s="4">
        <f t="shared" si="0"/>
        <v>9</v>
      </c>
      <c r="N4" s="4">
        <f t="shared" si="1"/>
        <v>1</v>
      </c>
      <c r="O4" s="13">
        <f t="shared" si="2"/>
        <v>18000</v>
      </c>
      <c r="P4" s="13">
        <f t="shared" si="3"/>
        <v>900</v>
      </c>
      <c r="Q4" s="13">
        <f t="shared" si="4"/>
        <v>1260.0000000000002</v>
      </c>
      <c r="R4" s="13">
        <f t="shared" si="5"/>
        <v>20160</v>
      </c>
      <c r="S4" s="9">
        <f t="shared" si="6"/>
        <v>2419.1999999999998</v>
      </c>
      <c r="T4" s="9">
        <f t="shared" si="7"/>
        <v>17740.8</v>
      </c>
      <c r="U4" s="1"/>
      <c r="W4" s="1"/>
      <c r="X4" s="1"/>
      <c r="Y4" s="1"/>
      <c r="Z4" s="1"/>
    </row>
    <row r="5" spans="1:29" x14ac:dyDescent="0.3">
      <c r="A5" s="15" t="s">
        <v>11</v>
      </c>
      <c r="B5" s="9">
        <v>21000</v>
      </c>
      <c r="C5" s="15" t="s">
        <v>41</v>
      </c>
      <c r="D5" s="15" t="s">
        <v>40</v>
      </c>
      <c r="E5" s="15" t="s">
        <v>41</v>
      </c>
      <c r="F5" s="15" t="s">
        <v>40</v>
      </c>
      <c r="G5" s="15" t="s">
        <v>41</v>
      </c>
      <c r="H5" s="15" t="s">
        <v>41</v>
      </c>
      <c r="I5" s="15" t="s">
        <v>40</v>
      </c>
      <c r="J5" s="15" t="s">
        <v>41</v>
      </c>
      <c r="K5" s="15" t="s">
        <v>40</v>
      </c>
      <c r="L5" s="15" t="s">
        <v>41</v>
      </c>
      <c r="M5" s="4">
        <f t="shared" si="0"/>
        <v>4</v>
      </c>
      <c r="N5" s="4">
        <f t="shared" si="1"/>
        <v>6</v>
      </c>
      <c r="O5" s="13">
        <f t="shared" si="2"/>
        <v>8400</v>
      </c>
      <c r="P5" s="13">
        <f t="shared" si="3"/>
        <v>420</v>
      </c>
      <c r="Q5" s="13">
        <f t="shared" si="4"/>
        <v>588</v>
      </c>
      <c r="R5" s="13">
        <f t="shared" si="5"/>
        <v>9408</v>
      </c>
      <c r="S5" s="9">
        <f t="shared" si="6"/>
        <v>1128.96</v>
      </c>
      <c r="T5" s="9">
        <f t="shared" si="7"/>
        <v>8279.0400000000009</v>
      </c>
    </row>
    <row r="6" spans="1:29" x14ac:dyDescent="0.3">
      <c r="A6" s="15" t="s">
        <v>17</v>
      </c>
      <c r="B6" s="9">
        <v>11000</v>
      </c>
      <c r="C6" s="15" t="s">
        <v>40</v>
      </c>
      <c r="D6" s="15" t="s">
        <v>41</v>
      </c>
      <c r="E6" s="15" t="s">
        <v>40</v>
      </c>
      <c r="F6" s="15" t="s">
        <v>41</v>
      </c>
      <c r="G6" s="15" t="s">
        <v>40</v>
      </c>
      <c r="H6" s="15" t="s">
        <v>41</v>
      </c>
      <c r="I6" s="15" t="s">
        <v>41</v>
      </c>
      <c r="J6" s="15" t="s">
        <v>40</v>
      </c>
      <c r="K6" s="15" t="s">
        <v>40</v>
      </c>
      <c r="L6" s="15" t="s">
        <v>41</v>
      </c>
      <c r="M6" s="4">
        <f t="shared" si="0"/>
        <v>5</v>
      </c>
      <c r="N6" s="4">
        <f t="shared" si="1"/>
        <v>5</v>
      </c>
      <c r="O6" s="13">
        <f t="shared" si="2"/>
        <v>5500</v>
      </c>
      <c r="P6" s="13">
        <f t="shared" si="3"/>
        <v>275</v>
      </c>
      <c r="Q6" s="13">
        <f t="shared" si="4"/>
        <v>385.00000000000006</v>
      </c>
      <c r="R6" s="13">
        <f t="shared" si="5"/>
        <v>6160</v>
      </c>
      <c r="S6" s="9">
        <f t="shared" si="6"/>
        <v>739.19999999999993</v>
      </c>
      <c r="T6" s="9">
        <f t="shared" si="7"/>
        <v>5420.8</v>
      </c>
    </row>
    <row r="7" spans="1:29" x14ac:dyDescent="0.3">
      <c r="A7" s="15" t="s">
        <v>12</v>
      </c>
      <c r="B7" s="9">
        <v>12500</v>
      </c>
      <c r="C7" s="15" t="s">
        <v>41</v>
      </c>
      <c r="D7" s="15" t="s">
        <v>41</v>
      </c>
      <c r="E7" s="15" t="s">
        <v>40</v>
      </c>
      <c r="F7" s="15" t="s">
        <v>40</v>
      </c>
      <c r="G7" s="15" t="s">
        <v>40</v>
      </c>
      <c r="H7" s="15" t="s">
        <v>40</v>
      </c>
      <c r="I7" s="15" t="s">
        <v>41</v>
      </c>
      <c r="J7" s="15" t="s">
        <v>41</v>
      </c>
      <c r="K7" s="15" t="s">
        <v>40</v>
      </c>
      <c r="L7" s="15" t="s">
        <v>40</v>
      </c>
      <c r="M7" s="4">
        <f t="shared" si="0"/>
        <v>6</v>
      </c>
      <c r="N7" s="4">
        <f t="shared" si="1"/>
        <v>4</v>
      </c>
      <c r="O7" s="13">
        <f t="shared" si="2"/>
        <v>7500</v>
      </c>
      <c r="P7" s="13">
        <f t="shared" si="3"/>
        <v>375</v>
      </c>
      <c r="Q7" s="13">
        <f t="shared" si="4"/>
        <v>525</v>
      </c>
      <c r="R7" s="13">
        <f t="shared" si="5"/>
        <v>8400</v>
      </c>
      <c r="S7" s="9">
        <f t="shared" si="6"/>
        <v>1008</v>
      </c>
      <c r="T7" s="9">
        <f t="shared" si="7"/>
        <v>7392</v>
      </c>
    </row>
    <row r="8" spans="1:29" x14ac:dyDescent="0.3">
      <c r="A8" s="15" t="s">
        <v>13</v>
      </c>
      <c r="B8" s="9">
        <v>13000</v>
      </c>
      <c r="C8" s="15" t="s">
        <v>41</v>
      </c>
      <c r="D8" s="15" t="s">
        <v>41</v>
      </c>
      <c r="E8" s="15" t="s">
        <v>41</v>
      </c>
      <c r="F8" s="15" t="s">
        <v>40</v>
      </c>
      <c r="G8" s="15" t="s">
        <v>40</v>
      </c>
      <c r="H8" s="15" t="s">
        <v>40</v>
      </c>
      <c r="I8" s="15" t="s">
        <v>40</v>
      </c>
      <c r="J8" s="15" t="s">
        <v>40</v>
      </c>
      <c r="K8" s="15" t="s">
        <v>40</v>
      </c>
      <c r="L8" s="15" t="s">
        <v>41</v>
      </c>
      <c r="M8" s="4">
        <f t="shared" si="0"/>
        <v>6</v>
      </c>
      <c r="N8" s="4">
        <f t="shared" si="1"/>
        <v>4</v>
      </c>
      <c r="O8" s="13">
        <f t="shared" si="2"/>
        <v>7800</v>
      </c>
      <c r="P8" s="13">
        <f t="shared" si="3"/>
        <v>390</v>
      </c>
      <c r="Q8" s="13">
        <f t="shared" si="4"/>
        <v>546</v>
      </c>
      <c r="R8" s="13">
        <f t="shared" si="5"/>
        <v>8736</v>
      </c>
      <c r="S8" s="9">
        <f t="shared" si="6"/>
        <v>1048.32</v>
      </c>
      <c r="T8" s="9">
        <f t="shared" si="7"/>
        <v>7687.68</v>
      </c>
    </row>
    <row r="9" spans="1:29" x14ac:dyDescent="0.3">
      <c r="A9" s="15" t="s">
        <v>14</v>
      </c>
      <c r="B9" s="9">
        <v>18000</v>
      </c>
      <c r="C9" s="15" t="s">
        <v>40</v>
      </c>
      <c r="D9" s="15" t="s">
        <v>40</v>
      </c>
      <c r="E9" s="15" t="s">
        <v>40</v>
      </c>
      <c r="F9" s="15" t="s">
        <v>40</v>
      </c>
      <c r="G9" s="15" t="s">
        <v>40</v>
      </c>
      <c r="H9" s="15" t="s">
        <v>41</v>
      </c>
      <c r="I9" s="15" t="s">
        <v>41</v>
      </c>
      <c r="J9" s="15" t="s">
        <v>41</v>
      </c>
      <c r="K9" s="15" t="s">
        <v>40</v>
      </c>
      <c r="L9" s="15" t="s">
        <v>40</v>
      </c>
      <c r="M9" s="4">
        <f t="shared" si="0"/>
        <v>7</v>
      </c>
      <c r="N9" s="4">
        <f t="shared" si="1"/>
        <v>3</v>
      </c>
      <c r="O9" s="13">
        <f t="shared" si="2"/>
        <v>12600</v>
      </c>
      <c r="P9" s="13">
        <f t="shared" si="3"/>
        <v>630</v>
      </c>
      <c r="Q9" s="13">
        <f t="shared" si="4"/>
        <v>882.00000000000011</v>
      </c>
      <c r="R9" s="13">
        <f t="shared" si="5"/>
        <v>14112</v>
      </c>
      <c r="S9" s="9">
        <f t="shared" si="6"/>
        <v>1693.4399999999998</v>
      </c>
      <c r="T9" s="9">
        <f t="shared" si="7"/>
        <v>12418.56</v>
      </c>
    </row>
    <row r="10" spans="1:29" x14ac:dyDescent="0.3">
      <c r="A10" s="15" t="s">
        <v>15</v>
      </c>
      <c r="B10" s="9">
        <v>19000</v>
      </c>
      <c r="C10" s="15" t="s">
        <v>41</v>
      </c>
      <c r="D10" s="15" t="s">
        <v>41</v>
      </c>
      <c r="E10" s="15" t="s">
        <v>40</v>
      </c>
      <c r="F10" s="15" t="s">
        <v>40</v>
      </c>
      <c r="G10" s="15" t="s">
        <v>41</v>
      </c>
      <c r="H10" s="15" t="s">
        <v>41</v>
      </c>
      <c r="I10" s="15" t="s">
        <v>40</v>
      </c>
      <c r="J10" s="15" t="s">
        <v>40</v>
      </c>
      <c r="K10" s="15" t="s">
        <v>41</v>
      </c>
      <c r="L10" s="15" t="s">
        <v>41</v>
      </c>
      <c r="M10" s="4">
        <f t="shared" si="0"/>
        <v>4</v>
      </c>
      <c r="N10" s="4">
        <f t="shared" si="1"/>
        <v>6</v>
      </c>
      <c r="O10" s="13">
        <f t="shared" si="2"/>
        <v>7600</v>
      </c>
      <c r="P10" s="13">
        <f t="shared" si="3"/>
        <v>380</v>
      </c>
      <c r="Q10" s="13">
        <f t="shared" si="4"/>
        <v>532</v>
      </c>
      <c r="R10" s="13">
        <f t="shared" si="5"/>
        <v>8512</v>
      </c>
      <c r="S10" s="9">
        <f t="shared" si="6"/>
        <v>1021.4399999999999</v>
      </c>
      <c r="T10" s="9">
        <f t="shared" si="7"/>
        <v>7490.56</v>
      </c>
    </row>
    <row r="11" spans="1:29" x14ac:dyDescent="0.3">
      <c r="A11" s="15" t="s">
        <v>16</v>
      </c>
      <c r="B11" s="9">
        <v>25000</v>
      </c>
      <c r="C11" s="15" t="s">
        <v>40</v>
      </c>
      <c r="D11" s="15" t="s">
        <v>41</v>
      </c>
      <c r="E11" s="15" t="s">
        <v>40</v>
      </c>
      <c r="F11" s="15" t="s">
        <v>41</v>
      </c>
      <c r="G11" s="15" t="s">
        <v>40</v>
      </c>
      <c r="H11" s="15" t="s">
        <v>41</v>
      </c>
      <c r="I11" s="15" t="s">
        <v>40</v>
      </c>
      <c r="J11" s="15" t="s">
        <v>41</v>
      </c>
      <c r="K11" s="15" t="s">
        <v>40</v>
      </c>
      <c r="L11" s="15" t="s">
        <v>41</v>
      </c>
      <c r="M11" s="4">
        <f t="shared" si="0"/>
        <v>5</v>
      </c>
      <c r="N11" s="4">
        <f t="shared" si="1"/>
        <v>5</v>
      </c>
      <c r="O11" s="13">
        <f t="shared" si="2"/>
        <v>12500</v>
      </c>
      <c r="P11" s="13">
        <f t="shared" si="3"/>
        <v>625</v>
      </c>
      <c r="Q11" s="13">
        <f t="shared" si="4"/>
        <v>875.00000000000011</v>
      </c>
      <c r="R11" s="13">
        <f t="shared" si="5"/>
        <v>14000</v>
      </c>
      <c r="S11" s="9">
        <f t="shared" si="6"/>
        <v>1680</v>
      </c>
      <c r="T11" s="9">
        <f t="shared" si="7"/>
        <v>12320</v>
      </c>
    </row>
  </sheetData>
  <mergeCells count="1">
    <mergeCell ref="A1:T1"/>
  </mergeCells>
  <conditionalFormatting sqref="B3:B11">
    <cfRule type="cellIs" dxfId="8" priority="10" operator="greaterThan">
      <formula>20000</formula>
    </cfRule>
  </conditionalFormatting>
  <conditionalFormatting sqref="B3:R11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{BD8ABF0B-CE34-4CF1-A76F-6AA9B42D7321}</x14:id>
        </ext>
      </extLst>
    </cfRule>
  </conditionalFormatting>
  <conditionalFormatting sqref="C3:L11">
    <cfRule type="containsText" dxfId="7" priority="8" operator="containsText" text="a">
      <formula>NOT(ISERROR(SEARCH("a",C3)))</formula>
    </cfRule>
    <cfRule type="containsText" dxfId="6" priority="9" operator="containsText" text="p">
      <formula>NOT(ISERROR(SEARCH("p",C3)))</formula>
    </cfRule>
  </conditionalFormatting>
  <conditionalFormatting sqref="M3:M11">
    <cfRule type="cellIs" dxfId="5" priority="7" operator="greaterThan">
      <formula>8</formula>
    </cfRule>
  </conditionalFormatting>
  <conditionalFormatting sqref="N3:N11">
    <cfRule type="cellIs" dxfId="4" priority="6" operator="greaterThan">
      <formula>5</formula>
    </cfRule>
  </conditionalFormatting>
  <conditionalFormatting sqref="O3:O11">
    <cfRule type="cellIs" dxfId="3" priority="5" operator="between">
      <formula>12000</formula>
      <formula>15000</formula>
    </cfRule>
  </conditionalFormatting>
  <conditionalFormatting sqref="P3:P11">
    <cfRule type="cellIs" dxfId="2" priority="4" operator="greaterThan">
      <formula>1000</formula>
    </cfRule>
  </conditionalFormatting>
  <conditionalFormatting sqref="Q3:Q11">
    <cfRule type="cellIs" dxfId="1" priority="3" operator="lessThan">
      <formula>1000</formula>
    </cfRule>
  </conditionalFormatting>
  <conditionalFormatting sqref="R3:R11">
    <cfRule type="cellIs" dxfId="0" priority="2" operator="between">
      <formula>1000</formula>
      <formula>20000</formula>
    </cfRule>
  </conditionalFormatting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D8ABF0B-CE34-4CF1-A76F-6AA9B42D732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B3:R11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marksheet</vt:lpstr>
      <vt:lpstr>purchase sheet</vt:lpstr>
      <vt:lpstr>sales sheet</vt:lpstr>
      <vt:lpstr>salary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QSK1184</dc:creator>
  <cp:lastModifiedBy>vivek chauhan</cp:lastModifiedBy>
  <dcterms:created xsi:type="dcterms:W3CDTF">2024-09-12T05:24:41Z</dcterms:created>
  <dcterms:modified xsi:type="dcterms:W3CDTF">2024-11-09T13:58:00Z</dcterms:modified>
</cp:coreProperties>
</file>