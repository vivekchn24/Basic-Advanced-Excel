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VEK CHAUHAN\Desktop\vivek-data-analysis\Basic-Advanced-Excel\"/>
    </mc:Choice>
  </mc:AlternateContent>
  <xr:revisionPtr revIDLastSave="0" documentId="13_ncr:1_{9DBB70A9-8FB1-4070-9F92-23A233CC3DE2}" xr6:coauthVersionLast="47" xr6:coauthVersionMax="47" xr10:uidLastSave="{00000000-0000-0000-0000-000000000000}"/>
  <bookViews>
    <workbookView xWindow="-108" yWindow="-108" windowWidth="23256" windowHeight="13896" xr2:uid="{A29AAA7F-2788-4D79-B441-3AA069E92F83}"/>
  </bookViews>
  <sheets>
    <sheet name="numerical-functions" sheetId="2" r:id="rId1"/>
    <sheet name="numerical-functions-prac" sheetId="1" r:id="rId2"/>
    <sheet name="PRAC-day" sheetId="3" r:id="rId3"/>
    <sheet name="PR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G5" i="4"/>
  <c r="G4" i="4"/>
  <c r="G3" i="4"/>
  <c r="G2" i="4"/>
  <c r="F6" i="4"/>
  <c r="F5" i="4"/>
  <c r="F4" i="4"/>
  <c r="F3" i="4"/>
  <c r="F2" i="4"/>
  <c r="E6" i="4"/>
  <c r="E5" i="4"/>
  <c r="E4" i="4"/>
  <c r="E3" i="4"/>
  <c r="E2" i="4"/>
  <c r="D6" i="4"/>
  <c r="D5" i="4"/>
  <c r="D4" i="4"/>
  <c r="D3" i="4"/>
  <c r="D2" i="4"/>
  <c r="T22" i="1"/>
  <c r="T21" i="1"/>
  <c r="T20" i="1"/>
  <c r="S17" i="1"/>
  <c r="S16" i="1"/>
  <c r="S15" i="1"/>
  <c r="S3" i="1"/>
  <c r="S6" i="1" s="1"/>
  <c r="S4" i="1"/>
  <c r="S5" i="1"/>
  <c r="S10" i="1"/>
  <c r="S11" i="1"/>
  <c r="M6" i="3"/>
  <c r="M5" i="3"/>
  <c r="M3" i="3"/>
  <c r="M2" i="3"/>
  <c r="N23" i="3"/>
  <c r="N22" i="3"/>
  <c r="N21" i="3"/>
  <c r="M18" i="3"/>
  <c r="M17" i="3"/>
  <c r="M16" i="3"/>
  <c r="M14" i="3"/>
  <c r="M13" i="3"/>
  <c r="M12" i="3"/>
  <c r="M11" i="3"/>
  <c r="M10" i="3"/>
  <c r="M9" i="3"/>
  <c r="H35" i="3"/>
  <c r="H32" i="3"/>
  <c r="I28" i="3"/>
  <c r="I27" i="3"/>
  <c r="H21" i="3"/>
  <c r="H20" i="3"/>
  <c r="H23" i="3" s="1"/>
  <c r="I19" i="3"/>
  <c r="H17" i="3"/>
  <c r="H16" i="3"/>
  <c r="H15" i="3"/>
  <c r="I13" i="3"/>
  <c r="H13" i="3"/>
  <c r="I12" i="3"/>
  <c r="H12" i="3"/>
  <c r="I10" i="3"/>
  <c r="I9" i="3"/>
  <c r="H10" i="3"/>
  <c r="H9" i="3"/>
  <c r="H7" i="3"/>
  <c r="H6" i="3"/>
  <c r="H5" i="3"/>
  <c r="H3" i="3"/>
  <c r="H2" i="3"/>
  <c r="L5" i="1"/>
  <c r="L3" i="1"/>
  <c r="Q23" i="2"/>
  <c r="Q22" i="2"/>
  <c r="Q21" i="2"/>
  <c r="P18" i="2"/>
  <c r="P17" i="2"/>
  <c r="P16" i="2"/>
  <c r="H25" i="3" l="1"/>
  <c r="H24" i="3"/>
  <c r="P13" i="2"/>
  <c r="P12" i="2"/>
  <c r="P11" i="2"/>
  <c r="P10" i="2"/>
  <c r="P9" i="2"/>
  <c r="P6" i="2"/>
  <c r="P5" i="2"/>
  <c r="P3" i="2"/>
  <c r="P2" i="2"/>
  <c r="H34" i="2"/>
  <c r="H32" i="2"/>
  <c r="I28" i="2"/>
  <c r="I27" i="2"/>
  <c r="H21" i="2"/>
  <c r="H20" i="2"/>
  <c r="H24" i="2" s="1"/>
  <c r="I19" i="2"/>
  <c r="I17" i="2"/>
  <c r="I16" i="2"/>
  <c r="I15" i="2"/>
  <c r="I13" i="2"/>
  <c r="I12" i="2"/>
  <c r="I10" i="2"/>
  <c r="I9" i="2"/>
  <c r="I7" i="2"/>
  <c r="I6" i="2"/>
  <c r="I5" i="2"/>
  <c r="I3" i="2"/>
  <c r="I2" i="2"/>
  <c r="L2" i="1"/>
  <c r="L6" i="1"/>
  <c r="L7" i="1"/>
  <c r="L9" i="1"/>
  <c r="L10" i="1"/>
  <c r="L12" i="1"/>
  <c r="L13" i="1"/>
  <c r="L15" i="1"/>
  <c r="L16" i="1"/>
  <c r="L17" i="1"/>
  <c r="L20" i="1"/>
  <c r="L21" i="1"/>
  <c r="L28" i="1"/>
  <c r="L32" i="1"/>
  <c r="L34" i="1"/>
  <c r="T13" i="1"/>
  <c r="T6" i="1"/>
  <c r="M27" i="1"/>
  <c r="M19" i="1"/>
  <c r="L23" i="1" l="1"/>
  <c r="L24" i="1"/>
  <c r="H25" i="2"/>
  <c r="H23" i="2"/>
  <c r="L25" i="1"/>
</calcChain>
</file>

<file path=xl/sharedStrings.xml><?xml version="1.0" encoding="utf-8"?>
<sst xmlns="http://schemas.openxmlformats.org/spreadsheetml/2006/main" count="325" uniqueCount="88">
  <si>
    <t>Part name</t>
  </si>
  <si>
    <t>Supplier</t>
  </si>
  <si>
    <t>City</t>
  </si>
  <si>
    <t>State</t>
  </si>
  <si>
    <t>Quantity</t>
  </si>
  <si>
    <t>Power  Supply</t>
  </si>
  <si>
    <t>Corsair</t>
  </si>
  <si>
    <t>ahmedabad</t>
  </si>
  <si>
    <t>Uttar Pradesh</t>
  </si>
  <si>
    <t>Moniter</t>
  </si>
  <si>
    <t>Hp</t>
  </si>
  <si>
    <t>pune</t>
  </si>
  <si>
    <t>Maharastra</t>
  </si>
  <si>
    <t>CD</t>
  </si>
  <si>
    <t>Intel</t>
  </si>
  <si>
    <t>chennai</t>
  </si>
  <si>
    <t xml:space="preserve">Rajasthan </t>
  </si>
  <si>
    <t>Pendrives</t>
  </si>
  <si>
    <t>jodhpur</t>
  </si>
  <si>
    <t xml:space="preserve">West Bengal </t>
  </si>
  <si>
    <t>Mouse</t>
  </si>
  <si>
    <t>Logitech</t>
  </si>
  <si>
    <t>Gujarat</t>
  </si>
  <si>
    <t>Wifi-Dongles</t>
  </si>
  <si>
    <t>Moserbear</t>
  </si>
  <si>
    <t>MTS</t>
  </si>
  <si>
    <t>morbi</t>
  </si>
  <si>
    <t>Graphics Cards</t>
  </si>
  <si>
    <t>Nvidiea</t>
  </si>
  <si>
    <t>surat</t>
  </si>
  <si>
    <t xml:space="preserve">Goa </t>
  </si>
  <si>
    <t xml:space="preserve">Fan </t>
  </si>
  <si>
    <t>Redgear</t>
  </si>
  <si>
    <t>banglore</t>
  </si>
  <si>
    <t>Hard Disk</t>
  </si>
  <si>
    <t>Samsung</t>
  </si>
  <si>
    <t>Cables</t>
  </si>
  <si>
    <t>Sandisk</t>
  </si>
  <si>
    <t>Cpu</t>
  </si>
  <si>
    <t>Sharp</t>
  </si>
  <si>
    <t>delhi</t>
  </si>
  <si>
    <t>Super</t>
  </si>
  <si>
    <t>Keyboard</t>
  </si>
  <si>
    <t>TVS</t>
  </si>
  <si>
    <t>SUM</t>
  </si>
  <si>
    <t>AVERAGE</t>
  </si>
  <si>
    <t>COUNT</t>
  </si>
  <si>
    <t>COUNTA</t>
  </si>
  <si>
    <t>COUNTBLANK</t>
  </si>
  <si>
    <t>MIN</t>
  </si>
  <si>
    <t>MAX</t>
  </si>
  <si>
    <t>LARGE</t>
  </si>
  <si>
    <t>SMALL</t>
  </si>
  <si>
    <t>MEAN</t>
  </si>
  <si>
    <t>MEDIAN</t>
  </si>
  <si>
    <t>MODE</t>
  </si>
  <si>
    <t>ABS</t>
  </si>
  <si>
    <t>RAND</t>
  </si>
  <si>
    <t>RANDBETWEEN</t>
  </si>
  <si>
    <t>ROUNDDOWN</t>
  </si>
  <si>
    <t>ROUNDUP</t>
  </si>
  <si>
    <t>CEILING</t>
  </si>
  <si>
    <t>FLOOR</t>
  </si>
  <si>
    <t>GCD</t>
  </si>
  <si>
    <t>LCM</t>
  </si>
  <si>
    <t>Qty</t>
  </si>
  <si>
    <t>Rate</t>
  </si>
  <si>
    <t>Amount</t>
  </si>
  <si>
    <t>SUMPRODUCT</t>
  </si>
  <si>
    <t>SQRT</t>
  </si>
  <si>
    <t>FACT</t>
  </si>
  <si>
    <t>POWER</t>
  </si>
  <si>
    <t>ROUND</t>
  </si>
  <si>
    <t>QTY</t>
  </si>
  <si>
    <t>RATE</t>
  </si>
  <si>
    <t>AMOUNT</t>
  </si>
  <si>
    <t>SUMIF</t>
  </si>
  <si>
    <t>COUNTIF</t>
  </si>
  <si>
    <t>AVERAGEIF</t>
  </si>
  <si>
    <t>SUMIFS</t>
  </si>
  <si>
    <t>AVERAGEIFS</t>
  </si>
  <si>
    <t>COUNTIFS</t>
  </si>
  <si>
    <t>Goa</t>
  </si>
  <si>
    <t xml:space="preserve"> </t>
  </si>
  <si>
    <t>PHY</t>
  </si>
  <si>
    <t>CHEM</t>
  </si>
  <si>
    <t>MATHS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</si>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</sst>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6F89-B5B6-426E-9A53-76B971125448}">
  <dimension ref="A1:Q34"/>
  <sheetViews>
    <sheetView tabSelected="1" zoomScale="90" zoomScaleNormal="90" workbookViewId="0">
      <selection activeCell="O27" sqref="O27"/>
    </sheetView>
  </sheetViews>
  <sheetFormatPr defaultRowHeight="14.4" x14ac:dyDescent="0.3"/>
  <cols>
    <col min="1" max="5" width="14.6640625" customWidth="1"/>
    <col min="7" max="7" width="16.44140625" customWidth="1"/>
    <col min="14" max="14" width="10.5546875" customWidth="1"/>
    <col min="15" max="15" width="14.5546875" customWidth="1"/>
  </cols>
  <sheetData>
    <row r="1" spans="1:1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 x14ac:dyDescent="0.3">
      <c r="A2" s="2" t="s">
        <v>5</v>
      </c>
      <c r="B2" s="2" t="s">
        <v>6</v>
      </c>
      <c r="C2" s="2" t="s">
        <v>7</v>
      </c>
      <c r="D2" s="2" t="s">
        <v>8</v>
      </c>
      <c r="E2" s="4">
        <v>1500</v>
      </c>
      <c r="G2" s="3" t="s">
        <v>44</v>
      </c>
      <c r="I2">
        <f>SUM(E2:E15)</f>
        <v>50100</v>
      </c>
      <c r="N2" s="3" t="s">
        <v>69</v>
      </c>
      <c r="O2">
        <v>22</v>
      </c>
      <c r="P2">
        <f>SQRT(O2)</f>
        <v>4.6904157598234297</v>
      </c>
    </row>
    <row r="3" spans="1:16" x14ac:dyDescent="0.3">
      <c r="A3" s="2" t="s">
        <v>9</v>
      </c>
      <c r="B3" s="2" t="s">
        <v>10</v>
      </c>
      <c r="C3" s="2" t="s">
        <v>11</v>
      </c>
      <c r="D3" s="2" t="s">
        <v>12</v>
      </c>
      <c r="E3" s="4">
        <v>1800</v>
      </c>
      <c r="G3" s="3" t="s">
        <v>45</v>
      </c>
      <c r="I3">
        <f>AVERAGE(E2:E15)</f>
        <v>3578.5714285714284</v>
      </c>
      <c r="N3" s="3" t="s">
        <v>70</v>
      </c>
      <c r="O3">
        <v>3</v>
      </c>
      <c r="P3">
        <f>FACT(O3)</f>
        <v>6</v>
      </c>
    </row>
    <row r="4" spans="1:16" x14ac:dyDescent="0.3">
      <c r="A4" s="2" t="s">
        <v>13</v>
      </c>
      <c r="B4" s="2" t="s">
        <v>14</v>
      </c>
      <c r="C4" s="2" t="s">
        <v>15</v>
      </c>
      <c r="D4" s="2" t="s">
        <v>16</v>
      </c>
      <c r="E4" s="4">
        <v>2000</v>
      </c>
    </row>
    <row r="5" spans="1:16" x14ac:dyDescent="0.3">
      <c r="A5" s="2" t="s">
        <v>17</v>
      </c>
      <c r="B5" s="2" t="s">
        <v>14</v>
      </c>
      <c r="C5" s="2" t="s">
        <v>18</v>
      </c>
      <c r="D5" s="2" t="s">
        <v>19</v>
      </c>
      <c r="E5" s="4">
        <v>2500</v>
      </c>
      <c r="G5" s="3" t="s">
        <v>46</v>
      </c>
      <c r="I5">
        <f>COUNT(E2:E15)</f>
        <v>14</v>
      </c>
      <c r="N5" s="3" t="s">
        <v>71</v>
      </c>
      <c r="O5">
        <v>22</v>
      </c>
      <c r="P5">
        <f>POWER(O5,2)</f>
        <v>484</v>
      </c>
    </row>
    <row r="6" spans="1:16" x14ac:dyDescent="0.3">
      <c r="A6" s="2" t="s">
        <v>20</v>
      </c>
      <c r="B6" s="2" t="s">
        <v>21</v>
      </c>
      <c r="C6" s="2" t="s">
        <v>7</v>
      </c>
      <c r="D6" s="2" t="s">
        <v>22</v>
      </c>
      <c r="E6" s="4">
        <v>2800</v>
      </c>
      <c r="G6" s="3" t="s">
        <v>47</v>
      </c>
      <c r="I6">
        <f>COUNTA(E1:E15)</f>
        <v>15</v>
      </c>
      <c r="O6">
        <v>10</v>
      </c>
      <c r="P6">
        <f>POWER(O6,2)</f>
        <v>100</v>
      </c>
    </row>
    <row r="7" spans="1:16" x14ac:dyDescent="0.3">
      <c r="A7" s="2" t="s">
        <v>23</v>
      </c>
      <c r="B7" s="2" t="s">
        <v>24</v>
      </c>
      <c r="C7" s="2" t="s">
        <v>7</v>
      </c>
      <c r="D7" s="2" t="s">
        <v>12</v>
      </c>
      <c r="E7" s="4">
        <v>3200</v>
      </c>
      <c r="G7" s="3" t="s">
        <v>48</v>
      </c>
      <c r="I7">
        <f>COUNTBLANK(E2:E17)</f>
        <v>2</v>
      </c>
    </row>
    <row r="8" spans="1:16" x14ac:dyDescent="0.3">
      <c r="A8" s="2" t="s">
        <v>20</v>
      </c>
      <c r="B8" s="2" t="s">
        <v>25</v>
      </c>
      <c r="C8" s="2" t="s">
        <v>26</v>
      </c>
      <c r="D8" s="2" t="s">
        <v>8</v>
      </c>
      <c r="E8" s="4">
        <v>3500</v>
      </c>
      <c r="N8" s="3" t="s">
        <v>73</v>
      </c>
      <c r="O8" s="3" t="s">
        <v>74</v>
      </c>
      <c r="P8" s="3" t="s">
        <v>75</v>
      </c>
    </row>
    <row r="9" spans="1:16" x14ac:dyDescent="0.3">
      <c r="A9" s="2" t="s">
        <v>27</v>
      </c>
      <c r="B9" s="2" t="s">
        <v>28</v>
      </c>
      <c r="C9" s="2" t="s">
        <v>29</v>
      </c>
      <c r="D9" s="2" t="s">
        <v>82</v>
      </c>
      <c r="E9" s="4">
        <v>4000</v>
      </c>
      <c r="G9" s="3" t="s">
        <v>49</v>
      </c>
      <c r="I9">
        <f>MIN(E2:E15)</f>
        <v>1500</v>
      </c>
      <c r="N9">
        <v>100</v>
      </c>
      <c r="O9">
        <v>400</v>
      </c>
      <c r="P9">
        <f>PRODUCT(N9:O9)</f>
        <v>40000</v>
      </c>
    </row>
    <row r="10" spans="1:16" x14ac:dyDescent="0.3">
      <c r="A10" s="2" t="s">
        <v>31</v>
      </c>
      <c r="B10" s="2" t="s">
        <v>32</v>
      </c>
      <c r="C10" s="2" t="s">
        <v>33</v>
      </c>
      <c r="D10" s="2" t="s">
        <v>82</v>
      </c>
      <c r="E10" s="4">
        <v>4200</v>
      </c>
      <c r="G10" s="3" t="s">
        <v>50</v>
      </c>
      <c r="I10">
        <f>MAX(E2:E15)</f>
        <v>5200</v>
      </c>
      <c r="N10">
        <v>200</v>
      </c>
      <c r="O10">
        <v>500</v>
      </c>
      <c r="P10">
        <f t="shared" ref="P10:P11" si="0">PRODUCT(N10:O10)</f>
        <v>100000</v>
      </c>
    </row>
    <row r="11" spans="1:16" x14ac:dyDescent="0.3">
      <c r="A11" s="2" t="s">
        <v>34</v>
      </c>
      <c r="B11" s="2" t="s">
        <v>35</v>
      </c>
      <c r="C11" s="2" t="s">
        <v>29</v>
      </c>
      <c r="D11" s="2" t="s">
        <v>12</v>
      </c>
      <c r="E11" s="4">
        <v>4500</v>
      </c>
      <c r="N11">
        <v>300</v>
      </c>
      <c r="O11">
        <v>600</v>
      </c>
      <c r="P11">
        <f t="shared" si="0"/>
        <v>180000</v>
      </c>
    </row>
    <row r="12" spans="1:16" x14ac:dyDescent="0.3">
      <c r="A12" s="2" t="s">
        <v>36</v>
      </c>
      <c r="B12" s="2" t="s">
        <v>37</v>
      </c>
      <c r="C12" s="2" t="s">
        <v>29</v>
      </c>
      <c r="D12" s="2" t="s">
        <v>19</v>
      </c>
      <c r="E12" s="4">
        <v>4800</v>
      </c>
      <c r="G12" s="3" t="s">
        <v>51</v>
      </c>
      <c r="I12">
        <f>LARGE(E2:E15,3)</f>
        <v>4900</v>
      </c>
      <c r="O12" s="3" t="s">
        <v>44</v>
      </c>
      <c r="P12">
        <f>SUM(P9:P11)</f>
        <v>320000</v>
      </c>
    </row>
    <row r="13" spans="1:16" x14ac:dyDescent="0.3">
      <c r="A13" s="2" t="s">
        <v>38</v>
      </c>
      <c r="B13" s="2" t="s">
        <v>39</v>
      </c>
      <c r="C13" s="2" t="s">
        <v>40</v>
      </c>
      <c r="D13" s="2" t="s">
        <v>22</v>
      </c>
      <c r="E13" s="4">
        <v>4900</v>
      </c>
      <c r="G13" s="3" t="s">
        <v>52</v>
      </c>
      <c r="I13">
        <f>SMALL(E2:E15,2)</f>
        <v>1800</v>
      </c>
      <c r="O13" s="3" t="s">
        <v>68</v>
      </c>
      <c r="P13">
        <f>SUMPRODUCT(P9:P11)</f>
        <v>320000</v>
      </c>
    </row>
    <row r="14" spans="1:16" x14ac:dyDescent="0.3">
      <c r="A14" s="2" t="s">
        <v>36</v>
      </c>
      <c r="B14" s="2" t="s">
        <v>41</v>
      </c>
      <c r="C14" s="2" t="s">
        <v>26</v>
      </c>
      <c r="D14" s="2" t="s">
        <v>22</v>
      </c>
      <c r="E14" s="4">
        <v>5200</v>
      </c>
    </row>
    <row r="15" spans="1:16" x14ac:dyDescent="0.3">
      <c r="A15" s="2" t="s">
        <v>42</v>
      </c>
      <c r="B15" s="2" t="s">
        <v>43</v>
      </c>
      <c r="C15" s="2" t="s">
        <v>26</v>
      </c>
      <c r="D15" s="2" t="s">
        <v>16</v>
      </c>
      <c r="E15" s="4">
        <v>5200</v>
      </c>
      <c r="G15" s="3" t="s">
        <v>53</v>
      </c>
      <c r="I15">
        <f>AVERAGE(E2:E15)</f>
        <v>3578.5714285714284</v>
      </c>
    </row>
    <row r="16" spans="1:16" x14ac:dyDescent="0.3">
      <c r="G16" s="3" t="s">
        <v>54</v>
      </c>
      <c r="I16">
        <f>MEDIAN(E2:E15)</f>
        <v>3750</v>
      </c>
      <c r="N16" s="3" t="s">
        <v>76</v>
      </c>
      <c r="O16" t="s">
        <v>82</v>
      </c>
      <c r="P16">
        <f>SUMIF(D2:D15,O16,E2:E15)</f>
        <v>8200</v>
      </c>
    </row>
    <row r="17" spans="7:17" x14ac:dyDescent="0.3">
      <c r="G17" s="3" t="s">
        <v>55</v>
      </c>
      <c r="I17">
        <f>MODE(E2:E15)</f>
        <v>5200</v>
      </c>
      <c r="N17" s="3" t="s">
        <v>77</v>
      </c>
      <c r="O17" t="s">
        <v>82</v>
      </c>
      <c r="P17">
        <f>COUNTIF(D1:D15,O17)</f>
        <v>2</v>
      </c>
    </row>
    <row r="18" spans="7:17" x14ac:dyDescent="0.3">
      <c r="N18" s="3" t="s">
        <v>78</v>
      </c>
      <c r="O18" t="s">
        <v>82</v>
      </c>
      <c r="P18">
        <f>AVERAGEIF(D1:D15,O18,E1:E15)</f>
        <v>4100</v>
      </c>
    </row>
    <row r="19" spans="7:17" x14ac:dyDescent="0.3">
      <c r="G19" s="3" t="s">
        <v>56</v>
      </c>
      <c r="H19">
        <v>-144</v>
      </c>
      <c r="I19">
        <f>ABS(H19)</f>
        <v>144</v>
      </c>
    </row>
    <row r="20" spans="7:17" x14ac:dyDescent="0.3">
      <c r="G20" s="3" t="s">
        <v>57</v>
      </c>
      <c r="H20">
        <f ca="1">RAND()</f>
        <v>6.7740746376807937E-2</v>
      </c>
    </row>
    <row r="21" spans="7:17" x14ac:dyDescent="0.3">
      <c r="G21" s="3" t="s">
        <v>58</v>
      </c>
      <c r="H21">
        <f ca="1">RANDBETWEEN(1,10)</f>
        <v>3</v>
      </c>
      <c r="N21" s="3" t="s">
        <v>79</v>
      </c>
      <c r="O21" s="2" t="s">
        <v>28</v>
      </c>
      <c r="P21" s="2" t="s">
        <v>82</v>
      </c>
      <c r="Q21">
        <f>SUMIFS(E1:E15,B1:B15,O21,D1:D15,P21)</f>
        <v>4000</v>
      </c>
    </row>
    <row r="22" spans="7:17" x14ac:dyDescent="0.3">
      <c r="N22" s="3" t="s">
        <v>80</v>
      </c>
      <c r="O22" s="2" t="s">
        <v>28</v>
      </c>
      <c r="P22" s="2" t="s">
        <v>82</v>
      </c>
      <c r="Q22">
        <f>AVERAGEIFS(E1:E15,B1:B15,O22,D1:D15,P22)</f>
        <v>4000</v>
      </c>
    </row>
    <row r="23" spans="7:17" x14ac:dyDescent="0.3">
      <c r="G23" s="3" t="s">
        <v>72</v>
      </c>
      <c r="H23">
        <f ca="1">ROUND(H20,2)</f>
        <v>7.0000000000000007E-2</v>
      </c>
      <c r="N23" s="3" t="s">
        <v>81</v>
      </c>
      <c r="O23" s="2" t="s">
        <v>28</v>
      </c>
      <c r="P23" s="2" t="s">
        <v>82</v>
      </c>
      <c r="Q23">
        <f>COUNTIFS(B1:B15,O23,D1:D15,P23)</f>
        <v>1</v>
      </c>
    </row>
    <row r="24" spans="7:17" x14ac:dyDescent="0.3">
      <c r="G24" s="3" t="s">
        <v>59</v>
      </c>
      <c r="H24">
        <f ca="1">ROUNDDOWN(H20,2)</f>
        <v>0.06</v>
      </c>
    </row>
    <row r="25" spans="7:17" x14ac:dyDescent="0.3">
      <c r="G25" s="3" t="s">
        <v>60</v>
      </c>
      <c r="H25">
        <f ca="1">ROUNDUP(H20,3)</f>
        <v>6.8000000000000005E-2</v>
      </c>
    </row>
    <row r="27" spans="7:17" x14ac:dyDescent="0.3">
      <c r="G27" s="3" t="s">
        <v>61</v>
      </c>
      <c r="H27">
        <v>50.53</v>
      </c>
      <c r="I27">
        <f>CEILING(H27,8)</f>
        <v>56</v>
      </c>
    </row>
    <row r="28" spans="7:17" x14ac:dyDescent="0.3">
      <c r="G28" s="3" t="s">
        <v>62</v>
      </c>
      <c r="I28">
        <f>FLOOR(H27,8)</f>
        <v>48</v>
      </c>
    </row>
    <row r="31" spans="7:17" x14ac:dyDescent="0.3">
      <c r="G31" s="3" t="s">
        <v>63</v>
      </c>
      <c r="H31">
        <v>20</v>
      </c>
      <c r="I31">
        <v>40</v>
      </c>
    </row>
    <row r="32" spans="7:17" x14ac:dyDescent="0.3">
      <c r="H32">
        <f>GCD(H31,I31)</f>
        <v>20</v>
      </c>
    </row>
    <row r="34" spans="7:8" x14ac:dyDescent="0.3">
      <c r="G34" s="3" t="s">
        <v>64</v>
      </c>
      <c r="H34">
        <f>LCM(H31,I31)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620-42A7-4053-B727-995A1C15A0DE}">
  <dimension ref="A1:U34"/>
  <sheetViews>
    <sheetView workbookViewId="0">
      <selection activeCell="T23" sqref="T23"/>
    </sheetView>
  </sheetViews>
  <sheetFormatPr defaultRowHeight="14.4" x14ac:dyDescent="0.3"/>
  <cols>
    <col min="1" max="5" width="13.44140625" customWidth="1"/>
    <col min="10" max="10" width="5.5546875" customWidth="1"/>
    <col min="11" max="11" width="17.44140625" customWidth="1"/>
    <col min="13" max="13" width="9.109375" customWidth="1"/>
    <col min="17" max="17" width="11.5546875" customWidth="1"/>
    <col min="18" max="18" width="12.33203125" customWidth="1"/>
  </cols>
  <sheetData>
    <row r="1" spans="1:2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1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1500</v>
      </c>
      <c r="K2" s="3" t="s">
        <v>44</v>
      </c>
      <c r="L2">
        <f>SUM(E2:E15)</f>
        <v>50100</v>
      </c>
      <c r="Q2" t="s">
        <v>65</v>
      </c>
      <c r="R2" t="s">
        <v>66</v>
      </c>
      <c r="S2" t="s">
        <v>67</v>
      </c>
    </row>
    <row r="3" spans="1:21" x14ac:dyDescent="0.3">
      <c r="A3" s="2" t="s">
        <v>9</v>
      </c>
      <c r="B3" s="2" t="s">
        <v>10</v>
      </c>
      <c r="C3" s="2" t="s">
        <v>11</v>
      </c>
      <c r="D3" s="2" t="s">
        <v>12</v>
      </c>
      <c r="E3" s="2">
        <v>1800</v>
      </c>
      <c r="K3" s="3" t="s">
        <v>45</v>
      </c>
      <c r="L3">
        <f>AVERAGE(E2:E15)</f>
        <v>3578.5714285714284</v>
      </c>
      <c r="Q3">
        <v>123</v>
      </c>
      <c r="R3">
        <v>741</v>
      </c>
      <c r="S3">
        <f>PRODUCT(Q3:R3)</f>
        <v>91143</v>
      </c>
    </row>
    <row r="4" spans="1:21" x14ac:dyDescent="0.3">
      <c r="A4" s="2" t="s">
        <v>13</v>
      </c>
      <c r="B4" s="2" t="s">
        <v>14</v>
      </c>
      <c r="C4" s="2" t="s">
        <v>15</v>
      </c>
      <c r="D4" s="2" t="s">
        <v>16</v>
      </c>
      <c r="E4" s="2">
        <v>2000</v>
      </c>
      <c r="Q4">
        <v>456</v>
      </c>
      <c r="R4">
        <v>852</v>
      </c>
      <c r="S4">
        <f t="shared" ref="S4:S5" si="0">PRODUCT(Q4:R4)</f>
        <v>388512</v>
      </c>
    </row>
    <row r="5" spans="1:21" x14ac:dyDescent="0.3">
      <c r="A5" s="2" t="s">
        <v>17</v>
      </c>
      <c r="B5" s="2" t="s">
        <v>14</v>
      </c>
      <c r="C5" s="2" t="s">
        <v>18</v>
      </c>
      <c r="D5" s="2" t="s">
        <v>19</v>
      </c>
      <c r="E5" s="2">
        <v>2500</v>
      </c>
      <c r="K5" s="3" t="s">
        <v>46</v>
      </c>
      <c r="L5">
        <f>COUNT(E1:E15)</f>
        <v>14</v>
      </c>
      <c r="Q5">
        <v>789</v>
      </c>
      <c r="R5">
        <v>963</v>
      </c>
      <c r="S5">
        <f t="shared" si="0"/>
        <v>759807</v>
      </c>
    </row>
    <row r="6" spans="1:21" x14ac:dyDescent="0.3">
      <c r="A6" s="2" t="s">
        <v>20</v>
      </c>
      <c r="B6" s="2" t="s">
        <v>21</v>
      </c>
      <c r="C6" s="2" t="s">
        <v>7</v>
      </c>
      <c r="D6" s="2" t="s">
        <v>22</v>
      </c>
      <c r="E6" s="2">
        <v>2800</v>
      </c>
      <c r="K6" s="3" t="s">
        <v>47</v>
      </c>
      <c r="L6">
        <f>COUNTA(E1:E16)</f>
        <v>15</v>
      </c>
      <c r="S6">
        <f>SUM(S3:S5)</f>
        <v>1239462</v>
      </c>
      <c r="T6">
        <f>SUMPRODUCT(Q3:Q5,R3:R5)</f>
        <v>1239462</v>
      </c>
      <c r="U6" s="3" t="s">
        <v>68</v>
      </c>
    </row>
    <row r="7" spans="1:21" x14ac:dyDescent="0.3">
      <c r="A7" s="2" t="s">
        <v>23</v>
      </c>
      <c r="B7" s="2" t="s">
        <v>24</v>
      </c>
      <c r="C7" s="2" t="s">
        <v>7</v>
      </c>
      <c r="D7" s="2" t="s">
        <v>12</v>
      </c>
      <c r="E7" s="2">
        <v>3200</v>
      </c>
      <c r="K7" s="3" t="s">
        <v>48</v>
      </c>
      <c r="L7">
        <f>COUNTBLANK(E1:E16)</f>
        <v>1</v>
      </c>
    </row>
    <row r="8" spans="1:21" x14ac:dyDescent="0.3">
      <c r="A8" s="2" t="s">
        <v>20</v>
      </c>
      <c r="B8" s="2" t="s">
        <v>25</v>
      </c>
      <c r="C8" s="2" t="s">
        <v>26</v>
      </c>
      <c r="D8" s="2" t="s">
        <v>8</v>
      </c>
      <c r="E8" s="2">
        <v>3500</v>
      </c>
    </row>
    <row r="9" spans="1:21" x14ac:dyDescent="0.3">
      <c r="A9" s="2" t="s">
        <v>27</v>
      </c>
      <c r="B9" s="2" t="s">
        <v>28</v>
      </c>
      <c r="C9" s="2" t="s">
        <v>29</v>
      </c>
      <c r="D9" s="2" t="s">
        <v>30</v>
      </c>
      <c r="E9" s="2">
        <v>4000</v>
      </c>
      <c r="K9" s="3" t="s">
        <v>49</v>
      </c>
      <c r="L9">
        <f>MIN(E2:E15)</f>
        <v>1500</v>
      </c>
    </row>
    <row r="10" spans="1:21" x14ac:dyDescent="0.3">
      <c r="A10" s="2" t="s">
        <v>31</v>
      </c>
      <c r="B10" s="2" t="s">
        <v>32</v>
      </c>
      <c r="C10" s="2" t="s">
        <v>33</v>
      </c>
      <c r="D10" s="2" t="s">
        <v>30</v>
      </c>
      <c r="E10" s="2">
        <v>4200</v>
      </c>
      <c r="K10" s="3" t="s">
        <v>50</v>
      </c>
      <c r="L10">
        <f>MAX(E2:E15)</f>
        <v>5200</v>
      </c>
      <c r="Q10" s="3" t="s">
        <v>69</v>
      </c>
      <c r="R10">
        <v>144</v>
      </c>
      <c r="S10">
        <f>SQRT(R10)</f>
        <v>12</v>
      </c>
    </row>
    <row r="11" spans="1:21" x14ac:dyDescent="0.3">
      <c r="A11" s="2" t="s">
        <v>34</v>
      </c>
      <c r="B11" s="2" t="s">
        <v>35</v>
      </c>
      <c r="C11" s="2" t="s">
        <v>29</v>
      </c>
      <c r="D11" s="2" t="s">
        <v>12</v>
      </c>
      <c r="E11" s="2">
        <v>4500</v>
      </c>
      <c r="Q11" s="3" t="s">
        <v>70</v>
      </c>
      <c r="R11">
        <v>5</v>
      </c>
      <c r="S11">
        <f>FACT(R11)</f>
        <v>120</v>
      </c>
    </row>
    <row r="12" spans="1:21" x14ac:dyDescent="0.3">
      <c r="A12" s="2" t="s">
        <v>36</v>
      </c>
      <c r="B12" s="2" t="s">
        <v>37</v>
      </c>
      <c r="C12" s="2" t="s">
        <v>29</v>
      </c>
      <c r="D12" s="2" t="s">
        <v>19</v>
      </c>
      <c r="E12" s="2">
        <v>4800</v>
      </c>
      <c r="K12" s="3" t="s">
        <v>51</v>
      </c>
      <c r="L12">
        <f>LARGE(E2:E15,3)</f>
        <v>4900</v>
      </c>
    </row>
    <row r="13" spans="1:21" x14ac:dyDescent="0.3">
      <c r="A13" s="2" t="s">
        <v>38</v>
      </c>
      <c r="B13" s="2" t="s">
        <v>39</v>
      </c>
      <c r="C13" s="2" t="s">
        <v>40</v>
      </c>
      <c r="D13" s="2" t="s">
        <v>22</v>
      </c>
      <c r="E13" s="2">
        <v>4900</v>
      </c>
      <c r="K13" s="3" t="s">
        <v>52</v>
      </c>
      <c r="L13">
        <f>SMALL(E2:E15,2)</f>
        <v>1800</v>
      </c>
      <c r="Q13" s="3" t="s">
        <v>71</v>
      </c>
      <c r="R13">
        <v>5</v>
      </c>
      <c r="S13">
        <v>3</v>
      </c>
      <c r="T13">
        <f>POWER(R13,S13)</f>
        <v>125</v>
      </c>
    </row>
    <row r="14" spans="1:21" x14ac:dyDescent="0.3">
      <c r="A14" s="2" t="s">
        <v>36</v>
      </c>
      <c r="B14" s="2" t="s">
        <v>41</v>
      </c>
      <c r="C14" s="2" t="s">
        <v>26</v>
      </c>
      <c r="D14" s="2" t="s">
        <v>22</v>
      </c>
      <c r="E14" s="2">
        <v>5200</v>
      </c>
    </row>
    <row r="15" spans="1:21" x14ac:dyDescent="0.3">
      <c r="A15" s="2" t="s">
        <v>42</v>
      </c>
      <c r="B15" s="2" t="s">
        <v>43</v>
      </c>
      <c r="C15" s="2" t="s">
        <v>26</v>
      </c>
      <c r="D15" s="2" t="s">
        <v>16</v>
      </c>
      <c r="E15" s="2">
        <v>5200</v>
      </c>
      <c r="K15" s="3" t="s">
        <v>53</v>
      </c>
      <c r="L15">
        <f>AVERAGE(E2:E15)</f>
        <v>3578.5714285714284</v>
      </c>
      <c r="Q15" s="3" t="s">
        <v>76</v>
      </c>
      <c r="R15" s="2" t="s">
        <v>29</v>
      </c>
      <c r="S15">
        <f>SUMIF(C1:C15,R15,E1:E15)</f>
        <v>13300</v>
      </c>
    </row>
    <row r="16" spans="1:21" x14ac:dyDescent="0.3">
      <c r="K16" s="3" t="s">
        <v>54</v>
      </c>
      <c r="L16">
        <f>MEDIAN(E2:E15)</f>
        <v>3750</v>
      </c>
      <c r="Q16" s="3" t="s">
        <v>77</v>
      </c>
      <c r="R16" s="2" t="s">
        <v>26</v>
      </c>
      <c r="S16">
        <f>COUNTIF(C1:C15,R16)</f>
        <v>3</v>
      </c>
    </row>
    <row r="17" spans="11:20" x14ac:dyDescent="0.3">
      <c r="K17" s="3" t="s">
        <v>55</v>
      </c>
      <c r="L17">
        <f>MODE(E2:E15)</f>
        <v>5200</v>
      </c>
      <c r="Q17" s="3" t="s">
        <v>78</v>
      </c>
      <c r="R17" s="2" t="s">
        <v>7</v>
      </c>
      <c r="S17">
        <f>AVERAGEIF(C1:C15,R17,E1:E15)</f>
        <v>2500</v>
      </c>
    </row>
    <row r="19" spans="11:20" x14ac:dyDescent="0.3">
      <c r="K19" s="3" t="s">
        <v>56</v>
      </c>
      <c r="L19">
        <v>-52</v>
      </c>
      <c r="M19">
        <f>ABS(L19)</f>
        <v>52</v>
      </c>
    </row>
    <row r="20" spans="11:20" x14ac:dyDescent="0.3">
      <c r="K20" s="3" t="s">
        <v>57</v>
      </c>
      <c r="L20">
        <f ca="1">RAND()</f>
        <v>0.85452236052792141</v>
      </c>
      <c r="Q20" s="3" t="s">
        <v>79</v>
      </c>
      <c r="R20" s="2" t="s">
        <v>7</v>
      </c>
      <c r="S20" s="2" t="s">
        <v>22</v>
      </c>
      <c r="T20">
        <f>SUMIFS(E1:E15,C1:C15,R20,D1:D15,S20)</f>
        <v>2800</v>
      </c>
    </row>
    <row r="21" spans="11:20" x14ac:dyDescent="0.3">
      <c r="K21" s="3" t="s">
        <v>58</v>
      </c>
      <c r="L21">
        <f ca="1">RANDBETWEEN(10,100)</f>
        <v>62</v>
      </c>
      <c r="Q21" s="3" t="s">
        <v>80</v>
      </c>
      <c r="R21" s="2" t="s">
        <v>7</v>
      </c>
      <c r="S21" s="2" t="s">
        <v>22</v>
      </c>
      <c r="T21">
        <f>AVERAGEIFS(E1:E15,C1:C15,R21,D1:D15,S21)</f>
        <v>2800</v>
      </c>
    </row>
    <row r="22" spans="11:20" x14ac:dyDescent="0.3">
      <c r="Q22" s="3" t="s">
        <v>81</v>
      </c>
      <c r="R22" s="2" t="s">
        <v>7</v>
      </c>
      <c r="S22" s="2" t="s">
        <v>22</v>
      </c>
      <c r="T22">
        <f>COUNTIFS(C1:C15,R22,D1:D15,S22)</f>
        <v>1</v>
      </c>
    </row>
    <row r="23" spans="11:20" x14ac:dyDescent="0.3">
      <c r="K23" s="3" t="s">
        <v>72</v>
      </c>
      <c r="L23">
        <f ca="1">ROUND(L20,2)</f>
        <v>0.85</v>
      </c>
    </row>
    <row r="24" spans="11:20" x14ac:dyDescent="0.3">
      <c r="K24" s="3" t="s">
        <v>59</v>
      </c>
      <c r="L24">
        <f ca="1">ROUNDDOWN(L20,4)</f>
        <v>0.85450000000000004</v>
      </c>
    </row>
    <row r="25" spans="11:20" x14ac:dyDescent="0.3">
      <c r="K25" s="3" t="s">
        <v>60</v>
      </c>
      <c r="L25">
        <f ca="1">ROUNDUP(L20,2)</f>
        <v>0.86</v>
      </c>
    </row>
    <row r="27" spans="11:20" x14ac:dyDescent="0.3">
      <c r="K27" s="3" t="s">
        <v>61</v>
      </c>
      <c r="L27">
        <v>52.36</v>
      </c>
      <c r="M27">
        <f>CEILING(L27,5)</f>
        <v>55</v>
      </c>
      <c r="Q27" t="s">
        <v>83</v>
      </c>
    </row>
    <row r="28" spans="11:20" x14ac:dyDescent="0.3">
      <c r="K28" s="3" t="s">
        <v>62</v>
      </c>
      <c r="L28">
        <f>FLOOR(L27,5)</f>
        <v>50</v>
      </c>
    </row>
    <row r="31" spans="11:20" x14ac:dyDescent="0.3">
      <c r="K31" s="3" t="s">
        <v>63</v>
      </c>
      <c r="L31">
        <v>24</v>
      </c>
      <c r="M31">
        <v>36</v>
      </c>
    </row>
    <row r="32" spans="11:20" x14ac:dyDescent="0.3">
      <c r="L32">
        <f>GCD(L31,M31)</f>
        <v>12</v>
      </c>
    </row>
    <row r="34" spans="11:12" x14ac:dyDescent="0.3">
      <c r="K34" s="3" t="s">
        <v>64</v>
      </c>
      <c r="L34">
        <f>LCM(L31,M31)</f>
        <v>72</v>
      </c>
    </row>
  </sheetData>
  <sortState xmlns:xlrd2="http://schemas.microsoft.com/office/spreadsheetml/2017/richdata2" ref="A2:E15">
    <sortCondition ref="E2:E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6DC4-08A7-4F24-9FE3-7A88E1D7AAF4}">
  <dimension ref="A1:N35"/>
  <sheetViews>
    <sheetView workbookViewId="0">
      <selection activeCell="M29" sqref="M29"/>
    </sheetView>
  </sheetViews>
  <sheetFormatPr defaultRowHeight="14.4" x14ac:dyDescent="0.3"/>
  <cols>
    <col min="1" max="5" width="14.88671875" customWidth="1"/>
    <col min="7" max="16" width="19.33203125" customWidth="1"/>
  </cols>
  <sheetData>
    <row r="1" spans="1:13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x14ac:dyDescent="0.3">
      <c r="A2" s="2" t="s">
        <v>5</v>
      </c>
      <c r="B2" s="2" t="s">
        <v>6</v>
      </c>
      <c r="C2" s="2" t="s">
        <v>7</v>
      </c>
      <c r="D2" s="2" t="s">
        <v>8</v>
      </c>
      <c r="E2" s="4">
        <v>1500</v>
      </c>
      <c r="G2" s="3" t="s">
        <v>44</v>
      </c>
      <c r="H2" s="5">
        <f>SUM(E2:E15)</f>
        <v>50100</v>
      </c>
      <c r="K2" s="3" t="s">
        <v>69</v>
      </c>
      <c r="L2">
        <v>125</v>
      </c>
      <c r="M2">
        <f>SQRT(L2)</f>
        <v>11.180339887498949</v>
      </c>
    </row>
    <row r="3" spans="1:13" x14ac:dyDescent="0.3">
      <c r="A3" s="2" t="s">
        <v>9</v>
      </c>
      <c r="B3" s="2" t="s">
        <v>10</v>
      </c>
      <c r="C3" s="2" t="s">
        <v>11</v>
      </c>
      <c r="D3" s="2" t="s">
        <v>12</v>
      </c>
      <c r="E3" s="4">
        <v>1800</v>
      </c>
      <c r="G3" s="3" t="s">
        <v>45</v>
      </c>
      <c r="H3" s="5">
        <f>AVERAGE(E2:E15)</f>
        <v>3578.5714285714284</v>
      </c>
      <c r="K3" s="3" t="s">
        <v>70</v>
      </c>
      <c r="L3">
        <v>5</v>
      </c>
      <c r="M3">
        <f>FACT(L3)</f>
        <v>120</v>
      </c>
    </row>
    <row r="4" spans="1:13" x14ac:dyDescent="0.3">
      <c r="A4" s="2" t="s">
        <v>13</v>
      </c>
      <c r="B4" s="2" t="s">
        <v>14</v>
      </c>
      <c r="C4" s="2" t="s">
        <v>15</v>
      </c>
      <c r="D4" s="2" t="s">
        <v>16</v>
      </c>
      <c r="E4" s="4">
        <v>2000</v>
      </c>
    </row>
    <row r="5" spans="1:13" x14ac:dyDescent="0.3">
      <c r="A5" s="2" t="s">
        <v>17</v>
      </c>
      <c r="B5" s="2" t="s">
        <v>14</v>
      </c>
      <c r="C5" s="2" t="s">
        <v>18</v>
      </c>
      <c r="D5" s="2" t="s">
        <v>19</v>
      </c>
      <c r="E5" s="4">
        <v>2500</v>
      </c>
      <c r="G5" s="3" t="s">
        <v>46</v>
      </c>
      <c r="H5">
        <f>COUNT(E1:E15)</f>
        <v>14</v>
      </c>
      <c r="K5" s="3" t="s">
        <v>71</v>
      </c>
      <c r="L5">
        <v>3</v>
      </c>
      <c r="M5">
        <f>POWER(L5,3)</f>
        <v>27</v>
      </c>
    </row>
    <row r="6" spans="1:13" x14ac:dyDescent="0.3">
      <c r="A6" s="2" t="s">
        <v>20</v>
      </c>
      <c r="B6" s="2" t="s">
        <v>21</v>
      </c>
      <c r="C6" s="2" t="s">
        <v>7</v>
      </c>
      <c r="D6" s="2" t="s">
        <v>22</v>
      </c>
      <c r="E6" s="4">
        <v>2800</v>
      </c>
      <c r="G6" s="3" t="s">
        <v>47</v>
      </c>
      <c r="H6">
        <f>COUNTA(E1:E15)</f>
        <v>15</v>
      </c>
      <c r="L6">
        <v>4</v>
      </c>
      <c r="M6">
        <f>POWER(L6,2)</f>
        <v>16</v>
      </c>
    </row>
    <row r="7" spans="1:13" x14ac:dyDescent="0.3">
      <c r="A7" s="2" t="s">
        <v>23</v>
      </c>
      <c r="B7" s="2" t="s">
        <v>24</v>
      </c>
      <c r="C7" s="2" t="s">
        <v>7</v>
      </c>
      <c r="D7" s="2" t="s">
        <v>12</v>
      </c>
      <c r="E7" s="4">
        <v>3200</v>
      </c>
      <c r="G7" s="3" t="s">
        <v>48</v>
      </c>
      <c r="H7">
        <f>COUNTBLANK(E1:E17)</f>
        <v>2</v>
      </c>
    </row>
    <row r="8" spans="1:13" x14ac:dyDescent="0.3">
      <c r="A8" s="2" t="s">
        <v>20</v>
      </c>
      <c r="B8" s="2" t="s">
        <v>25</v>
      </c>
      <c r="C8" s="2" t="s">
        <v>26</v>
      </c>
      <c r="D8" s="2" t="s">
        <v>8</v>
      </c>
      <c r="E8" s="4">
        <v>3500</v>
      </c>
      <c r="K8" s="3" t="s">
        <v>73</v>
      </c>
      <c r="L8" s="3" t="s">
        <v>74</v>
      </c>
      <c r="M8" s="3" t="s">
        <v>75</v>
      </c>
    </row>
    <row r="9" spans="1:13" x14ac:dyDescent="0.3">
      <c r="A9" s="2" t="s">
        <v>27</v>
      </c>
      <c r="B9" s="2" t="s">
        <v>28</v>
      </c>
      <c r="C9" s="2" t="s">
        <v>29</v>
      </c>
      <c r="D9" s="2" t="s">
        <v>82</v>
      </c>
      <c r="E9" s="4">
        <v>4000</v>
      </c>
      <c r="G9" s="3" t="s">
        <v>49</v>
      </c>
      <c r="H9" s="5">
        <f>MIN(E2:E15)</f>
        <v>1500</v>
      </c>
      <c r="I9">
        <f>MIN(E1:E15)</f>
        <v>1500</v>
      </c>
      <c r="K9">
        <v>500</v>
      </c>
      <c r="L9">
        <v>100</v>
      </c>
      <c r="M9">
        <f>PRODUCT(K9,L9)</f>
        <v>50000</v>
      </c>
    </row>
    <row r="10" spans="1:13" x14ac:dyDescent="0.3">
      <c r="A10" s="2" t="s">
        <v>31</v>
      </c>
      <c r="B10" s="2" t="s">
        <v>32</v>
      </c>
      <c r="C10" s="2" t="s">
        <v>33</v>
      </c>
      <c r="D10" s="2" t="s">
        <v>82</v>
      </c>
      <c r="E10" s="4">
        <v>4200</v>
      </c>
      <c r="G10" s="3" t="s">
        <v>50</v>
      </c>
      <c r="H10" s="5">
        <f>MAX(E2:E15)</f>
        <v>5200</v>
      </c>
      <c r="I10">
        <f>MAX(E1:E15)</f>
        <v>5200</v>
      </c>
      <c r="K10">
        <v>1000</v>
      </c>
      <c r="L10">
        <v>200</v>
      </c>
      <c r="M10">
        <f t="shared" ref="M10:M12" si="0">PRODUCT(K10,L10)</f>
        <v>200000</v>
      </c>
    </row>
    <row r="11" spans="1:13" x14ac:dyDescent="0.3">
      <c r="A11" s="2" t="s">
        <v>34</v>
      </c>
      <c r="B11" s="2" t="s">
        <v>35</v>
      </c>
      <c r="C11" s="2" t="s">
        <v>29</v>
      </c>
      <c r="D11" s="2" t="s">
        <v>12</v>
      </c>
      <c r="E11" s="4">
        <v>4500</v>
      </c>
      <c r="K11">
        <v>1500</v>
      </c>
      <c r="L11">
        <v>300</v>
      </c>
      <c r="M11">
        <f t="shared" si="0"/>
        <v>450000</v>
      </c>
    </row>
    <row r="12" spans="1:13" x14ac:dyDescent="0.3">
      <c r="A12" s="2" t="s">
        <v>36</v>
      </c>
      <c r="B12" s="2" t="s">
        <v>37</v>
      </c>
      <c r="C12" s="2" t="s">
        <v>29</v>
      </c>
      <c r="D12" s="2" t="s">
        <v>19</v>
      </c>
      <c r="E12" s="4">
        <v>4800</v>
      </c>
      <c r="G12" s="3" t="s">
        <v>51</v>
      </c>
      <c r="H12">
        <f>LARGE(E2:E15,3)</f>
        <v>4900</v>
      </c>
      <c r="I12">
        <f>LARGE(E2:E15,2)</f>
        <v>5200</v>
      </c>
      <c r="K12">
        <v>2000</v>
      </c>
      <c r="L12">
        <v>400</v>
      </c>
      <c r="M12">
        <f t="shared" si="0"/>
        <v>800000</v>
      </c>
    </row>
    <row r="13" spans="1:13" x14ac:dyDescent="0.3">
      <c r="A13" s="2" t="s">
        <v>38</v>
      </c>
      <c r="B13" s="2" t="s">
        <v>39</v>
      </c>
      <c r="C13" s="2" t="s">
        <v>40</v>
      </c>
      <c r="D13" s="2" t="s">
        <v>22</v>
      </c>
      <c r="E13" s="4">
        <v>4900</v>
      </c>
      <c r="G13" s="3" t="s">
        <v>52</v>
      </c>
      <c r="H13">
        <f>SMALL(E2:E15,2)</f>
        <v>1800</v>
      </c>
      <c r="I13">
        <f>SMALL(E2:E15,3)</f>
        <v>2000</v>
      </c>
      <c r="L13" s="3" t="s">
        <v>44</v>
      </c>
      <c r="M13">
        <f>SUM(M9:M12)</f>
        <v>1500000</v>
      </c>
    </row>
    <row r="14" spans="1:13" x14ac:dyDescent="0.3">
      <c r="A14" s="2" t="s">
        <v>36</v>
      </c>
      <c r="B14" s="2" t="s">
        <v>41</v>
      </c>
      <c r="C14" s="2" t="s">
        <v>26</v>
      </c>
      <c r="D14" s="2" t="s">
        <v>22</v>
      </c>
      <c r="E14" s="4">
        <v>5200</v>
      </c>
      <c r="L14" s="3" t="s">
        <v>68</v>
      </c>
      <c r="M14">
        <f>SUMPRODUCT(M9:M12)</f>
        <v>1500000</v>
      </c>
    </row>
    <row r="15" spans="1:13" x14ac:dyDescent="0.3">
      <c r="A15" s="2" t="s">
        <v>42</v>
      </c>
      <c r="B15" s="2" t="s">
        <v>43</v>
      </c>
      <c r="C15" s="2" t="s">
        <v>26</v>
      </c>
      <c r="D15" s="2" t="s">
        <v>16</v>
      </c>
      <c r="E15" s="4">
        <v>5200</v>
      </c>
      <c r="G15" s="3" t="s">
        <v>53</v>
      </c>
      <c r="H15" s="5">
        <f>AVERAGE(E2:E15)</f>
        <v>3578.5714285714284</v>
      </c>
    </row>
    <row r="16" spans="1:13" x14ac:dyDescent="0.3">
      <c r="G16" s="3" t="s">
        <v>54</v>
      </c>
      <c r="H16" s="5">
        <f>MEDIAN(E2:E15)</f>
        <v>3750</v>
      </c>
      <c r="K16" s="3" t="s">
        <v>76</v>
      </c>
      <c r="L16" s="2" t="s">
        <v>12</v>
      </c>
      <c r="M16">
        <f>SUMIF(D1:D15,L16,E1:E15)</f>
        <v>9500</v>
      </c>
    </row>
    <row r="17" spans="7:14" x14ac:dyDescent="0.3">
      <c r="G17" s="3" t="s">
        <v>55</v>
      </c>
      <c r="H17">
        <f>MODE(E2:E15)</f>
        <v>5200</v>
      </c>
      <c r="K17" s="3" t="s">
        <v>77</v>
      </c>
      <c r="L17" s="2" t="s">
        <v>12</v>
      </c>
      <c r="M17">
        <f>COUNTIF(D1:D15,L17)</f>
        <v>3</v>
      </c>
    </row>
    <row r="18" spans="7:14" x14ac:dyDescent="0.3">
      <c r="K18" s="3" t="s">
        <v>78</v>
      </c>
      <c r="L18" s="2" t="s">
        <v>12</v>
      </c>
      <c r="M18">
        <f>AVERAGEIF(D1:D15,L18,E1:E15)</f>
        <v>3166.6666666666665</v>
      </c>
    </row>
    <row r="19" spans="7:14" x14ac:dyDescent="0.3">
      <c r="G19" s="3" t="s">
        <v>56</v>
      </c>
      <c r="H19">
        <v>-14</v>
      </c>
      <c r="I19">
        <f>ABS(H19)</f>
        <v>14</v>
      </c>
    </row>
    <row r="20" spans="7:14" x14ac:dyDescent="0.3">
      <c r="G20" s="3" t="s">
        <v>57</v>
      </c>
      <c r="H20">
        <f ca="1">RAND()</f>
        <v>0.64806349953862541</v>
      </c>
    </row>
    <row r="21" spans="7:14" x14ac:dyDescent="0.3">
      <c r="G21" s="3" t="s">
        <v>58</v>
      </c>
      <c r="H21">
        <f ca="1">RANDBETWEEN(50,100)</f>
        <v>54</v>
      </c>
      <c r="K21" s="3" t="s">
        <v>79</v>
      </c>
      <c r="L21" s="2" t="s">
        <v>36</v>
      </c>
      <c r="M21" s="2" t="s">
        <v>22</v>
      </c>
      <c r="N21">
        <f>SUMIFS(E1:E15,A1:A15,L21,D1:D15,M21)</f>
        <v>5200</v>
      </c>
    </row>
    <row r="22" spans="7:14" x14ac:dyDescent="0.3">
      <c r="K22" s="3" t="s">
        <v>80</v>
      </c>
      <c r="L22" s="2" t="s">
        <v>36</v>
      </c>
      <c r="M22" s="2" t="s">
        <v>22</v>
      </c>
      <c r="N22">
        <f>AVERAGEIFS(E1:E15,A1:A15,L22,D1:D15,M22)</f>
        <v>5200</v>
      </c>
    </row>
    <row r="23" spans="7:14" x14ac:dyDescent="0.3">
      <c r="G23" s="3" t="s">
        <v>72</v>
      </c>
      <c r="H23">
        <f ca="1">ROUND(H20,2)</f>
        <v>0.65</v>
      </c>
      <c r="K23" s="3" t="s">
        <v>81</v>
      </c>
      <c r="L23" s="2" t="s">
        <v>36</v>
      </c>
      <c r="M23" s="2" t="s">
        <v>22</v>
      </c>
      <c r="N23">
        <f>COUNTIFS(A1:A15,L23,D1:D15,M23)</f>
        <v>1</v>
      </c>
    </row>
    <row r="24" spans="7:14" x14ac:dyDescent="0.3">
      <c r="G24" s="3" t="s">
        <v>59</v>
      </c>
      <c r="H24">
        <f ca="1">ROUNDDOWN(H20,4)</f>
        <v>0.64800000000000002</v>
      </c>
    </row>
    <row r="25" spans="7:14" x14ac:dyDescent="0.3">
      <c r="G25" s="3" t="s">
        <v>60</v>
      </c>
      <c r="H25">
        <f ca="1">ROUNDUP(H20,2)</f>
        <v>0.65</v>
      </c>
    </row>
    <row r="27" spans="7:14" x14ac:dyDescent="0.3">
      <c r="G27" s="3" t="s">
        <v>61</v>
      </c>
      <c r="H27">
        <v>27</v>
      </c>
      <c r="I27">
        <f>CEILING(H27,13)</f>
        <v>39</v>
      </c>
    </row>
    <row r="28" spans="7:14" x14ac:dyDescent="0.3">
      <c r="G28" s="3" t="s">
        <v>62</v>
      </c>
      <c r="H28">
        <v>27</v>
      </c>
      <c r="I28">
        <f>FLOOR(H28,13)</f>
        <v>26</v>
      </c>
    </row>
    <row r="31" spans="7:14" x14ac:dyDescent="0.3">
      <c r="G31" s="3" t="s">
        <v>63</v>
      </c>
      <c r="H31">
        <v>15</v>
      </c>
      <c r="I31">
        <v>25</v>
      </c>
    </row>
    <row r="32" spans="7:14" x14ac:dyDescent="0.3">
      <c r="H32">
        <f>GCD(H31,I31)</f>
        <v>5</v>
      </c>
    </row>
    <row r="34" spans="7:9" x14ac:dyDescent="0.3">
      <c r="G34" s="3" t="s">
        <v>64</v>
      </c>
      <c r="H34">
        <v>15</v>
      </c>
      <c r="I34">
        <v>25</v>
      </c>
    </row>
    <row r="35" spans="7:9" x14ac:dyDescent="0.3">
      <c r="H35">
        <f>LCM(H34,I34)</f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4D23-67F4-4FE6-A312-DD5C22C09FED}">
  <dimension ref="A1:G6"/>
  <sheetViews>
    <sheetView workbookViewId="0">
      <selection activeCell="L27" sqref="L26:L27"/>
    </sheetView>
  </sheetViews>
  <sheetFormatPr defaultRowHeight="14.4" x14ac:dyDescent="0.3"/>
  <sheetData>
    <row r="1" spans="1:7" x14ac:dyDescent="0.3">
      <c r="A1" t="s">
        <v>84</v>
      </c>
      <c r="B1" t="s">
        <v>85</v>
      </c>
      <c r="C1" t="s">
        <v>86</v>
      </c>
      <c r="D1" t="s">
        <v>87</v>
      </c>
      <c r="E1" t="s">
        <v>49</v>
      </c>
      <c r="F1" t="s">
        <v>50</v>
      </c>
      <c r="G1" t="s">
        <v>45</v>
      </c>
    </row>
    <row r="2" spans="1:7" x14ac:dyDescent="0.3">
      <c r="A2">
        <v>80</v>
      </c>
      <c r="B2">
        <v>89</v>
      </c>
      <c r="C2">
        <v>68</v>
      </c>
      <c r="D2">
        <f>SUM(A2:C2)</f>
        <v>237</v>
      </c>
      <c r="E2">
        <f>MIN(A2:C2)</f>
        <v>68</v>
      </c>
      <c r="F2">
        <f>MAX(A2:C2)</f>
        <v>89</v>
      </c>
      <c r="G2">
        <f>AVERAGE(A2:C2)</f>
        <v>79</v>
      </c>
    </row>
    <row r="3" spans="1:7" x14ac:dyDescent="0.3">
      <c r="A3">
        <v>79</v>
      </c>
      <c r="B3">
        <v>76</v>
      </c>
      <c r="C3">
        <v>59</v>
      </c>
      <c r="D3">
        <f t="shared" ref="D3:D6" si="0">SUM(A3:C3)</f>
        <v>214</v>
      </c>
      <c r="E3">
        <f t="shared" ref="E3:E6" si="1">MIN(A3:C3)</f>
        <v>59</v>
      </c>
      <c r="F3">
        <f t="shared" ref="F3:F6" si="2">MAX(A3:C3)</f>
        <v>79</v>
      </c>
      <c r="G3">
        <f t="shared" ref="G3:G6" si="3">AVERAGE(A3:C3)</f>
        <v>71.333333333333329</v>
      </c>
    </row>
    <row r="4" spans="1:7" x14ac:dyDescent="0.3">
      <c r="A4">
        <v>68</v>
      </c>
      <c r="B4">
        <v>68</v>
      </c>
      <c r="C4">
        <v>92</v>
      </c>
      <c r="D4">
        <f t="shared" si="0"/>
        <v>228</v>
      </c>
      <c r="E4">
        <f t="shared" si="1"/>
        <v>68</v>
      </c>
      <c r="F4">
        <f t="shared" si="2"/>
        <v>92</v>
      </c>
      <c r="G4">
        <f t="shared" si="3"/>
        <v>76</v>
      </c>
    </row>
    <row r="5" spans="1:7" x14ac:dyDescent="0.3">
      <c r="A5">
        <v>76</v>
      </c>
      <c r="B5">
        <v>79</v>
      </c>
      <c r="C5">
        <v>82</v>
      </c>
      <c r="D5">
        <f t="shared" si="0"/>
        <v>237</v>
      </c>
      <c r="E5">
        <f t="shared" si="1"/>
        <v>76</v>
      </c>
      <c r="F5">
        <f t="shared" si="2"/>
        <v>82</v>
      </c>
      <c r="G5">
        <f t="shared" si="3"/>
        <v>79</v>
      </c>
    </row>
    <row r="6" spans="1:7" x14ac:dyDescent="0.3">
      <c r="A6">
        <v>89</v>
      </c>
      <c r="B6">
        <v>80</v>
      </c>
      <c r="C6">
        <v>75</v>
      </c>
      <c r="D6">
        <f t="shared" si="0"/>
        <v>244</v>
      </c>
      <c r="E6">
        <f t="shared" si="1"/>
        <v>75</v>
      </c>
      <c r="F6">
        <f t="shared" si="2"/>
        <v>89</v>
      </c>
      <c r="G6">
        <f t="shared" si="3"/>
        <v>81.333333333333329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numerical-functions</vt:lpstr>
      <vt:lpstr>numerical-functions-prac</vt:lpstr>
      <vt:lpstr>PRAC-day</vt:lpstr>
      <vt:lpstr>PRC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vivek chauhan</cp:lastModifiedBy>
  <dcterms:created xsi:type="dcterms:W3CDTF">2024-09-26T05:44:01Z</dcterms:created>
  <dcterms:modified xsi:type="dcterms:W3CDTF">2024-11-13T13:42:33Z</dcterms:modified>
</cp:coreProperties>
</file>