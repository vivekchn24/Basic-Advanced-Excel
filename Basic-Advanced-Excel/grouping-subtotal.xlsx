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954B69D6-A0C1-4412-9D3A-A78C6D2745C8}" xr6:coauthVersionLast="47" xr6:coauthVersionMax="47" xr10:uidLastSave="{00000000-0000-0000-0000-000000000000}"/>
  <bookViews>
    <workbookView xWindow="-108" yWindow="-108" windowWidth="23256" windowHeight="13896" tabRatio="697" firstSheet="4" activeTab="5" xr2:uid="{BDDE6C46-3672-4419-ADCA-142F4A53EF39}"/>
  </bookViews>
  <sheets>
    <sheet name="Sheet1" sheetId="1" r:id="rId1"/>
    <sheet name="Sheet2" sheetId="2" r:id="rId2"/>
    <sheet name="Sheet3" sheetId="3" r:id="rId3"/>
    <sheet name="Sheet4" sheetId="4" r:id="rId4"/>
    <sheet name="Warehouse" sheetId="5" r:id="rId5"/>
    <sheet name="Warehouse2" sheetId="6" r:id="rId6"/>
    <sheet name="Warehouse3" sheetId="7" r:id="rId7"/>
    <sheet name="Marks Grouping&amp; S Practice" sheetId="8" r:id="rId8"/>
    <sheet name="Marks Grouping&amp; S Practice2" sheetId="9" r:id="rId9"/>
    <sheet name="Marks Grouping&amp; S Practice3" sheetId="10" r:id="rId10"/>
    <sheet name="WarehousePractice" sheetId="15" r:id="rId11"/>
    <sheet name="WarehousePractice2" sheetId="16" r:id="rId12"/>
    <sheet name="WarehousePractice3" sheetId="17" r:id="rId13"/>
  </sheets>
  <externalReferences>
    <externalReference r:id="rId14"/>
  </externalReferences>
  <definedNames>
    <definedName name="cities">[1]cities!$A:$A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7" l="1"/>
  <c r="C57" i="17"/>
  <c r="B57" i="17"/>
  <c r="D48" i="17"/>
  <c r="C48" i="17"/>
  <c r="B48" i="17"/>
  <c r="D46" i="17"/>
  <c r="C46" i="17"/>
  <c r="B46" i="17"/>
  <c r="D37" i="17"/>
  <c r="C37" i="17"/>
  <c r="B37" i="17"/>
  <c r="D28" i="17"/>
  <c r="C28" i="17"/>
  <c r="B28" i="17"/>
  <c r="D19" i="17"/>
  <c r="C19" i="17"/>
  <c r="B19" i="17"/>
  <c r="D10" i="17"/>
  <c r="D58" i="17" s="1"/>
  <c r="C10" i="17"/>
  <c r="C58" i="17" s="1"/>
  <c r="B10" i="17"/>
  <c r="B58" i="17" s="1"/>
  <c r="D99" i="16"/>
  <c r="C99" i="16"/>
  <c r="D97" i="16"/>
  <c r="C97" i="16"/>
  <c r="D95" i="16"/>
  <c r="C95" i="16"/>
  <c r="D93" i="16"/>
  <c r="C93" i="16"/>
  <c r="D91" i="16"/>
  <c r="C91" i="16"/>
  <c r="D89" i="16"/>
  <c r="C89" i="16"/>
  <c r="D87" i="16"/>
  <c r="C87" i="16"/>
  <c r="D85" i="16"/>
  <c r="C85" i="16"/>
  <c r="D83" i="16"/>
  <c r="C83" i="16"/>
  <c r="D81" i="16"/>
  <c r="C81" i="16"/>
  <c r="D79" i="16"/>
  <c r="C79" i="16"/>
  <c r="D77" i="16"/>
  <c r="C77" i="16"/>
  <c r="D75" i="16"/>
  <c r="C75" i="16"/>
  <c r="D73" i="16"/>
  <c r="C73" i="16"/>
  <c r="D71" i="16"/>
  <c r="C71" i="16"/>
  <c r="D69" i="16"/>
  <c r="C69" i="16"/>
  <c r="D67" i="16"/>
  <c r="C67" i="16"/>
  <c r="D65" i="16"/>
  <c r="C65" i="16"/>
  <c r="D63" i="16"/>
  <c r="C63" i="16"/>
  <c r="D61" i="16"/>
  <c r="C61" i="16"/>
  <c r="D59" i="16"/>
  <c r="C59" i="16"/>
  <c r="D57" i="16"/>
  <c r="C57" i="16"/>
  <c r="D55" i="16"/>
  <c r="C55" i="16"/>
  <c r="D53" i="16"/>
  <c r="C53" i="16"/>
  <c r="D51" i="16"/>
  <c r="C51" i="16"/>
  <c r="D49" i="16"/>
  <c r="C49" i="16"/>
  <c r="D47" i="16"/>
  <c r="C47" i="16"/>
  <c r="D45" i="16"/>
  <c r="C45" i="16"/>
  <c r="D43" i="16"/>
  <c r="C43" i="16"/>
  <c r="D41" i="16"/>
  <c r="C41" i="16"/>
  <c r="D39" i="16"/>
  <c r="C39" i="16"/>
  <c r="D37" i="16"/>
  <c r="C37" i="16"/>
  <c r="D35" i="16"/>
  <c r="C35" i="16"/>
  <c r="D33" i="16"/>
  <c r="C33" i="16"/>
  <c r="D31" i="16"/>
  <c r="C31" i="16"/>
  <c r="D29" i="16"/>
  <c r="C29" i="16"/>
  <c r="D27" i="16"/>
  <c r="C27" i="16"/>
  <c r="D25" i="16"/>
  <c r="C25" i="16"/>
  <c r="D23" i="16"/>
  <c r="C23" i="16"/>
  <c r="D21" i="16"/>
  <c r="C21" i="16"/>
  <c r="D19" i="16"/>
  <c r="C19" i="16"/>
  <c r="D17" i="16"/>
  <c r="C17" i="16"/>
  <c r="D15" i="16"/>
  <c r="C15" i="16"/>
  <c r="D13" i="16"/>
  <c r="C13" i="16"/>
  <c r="D11" i="16"/>
  <c r="C11" i="16"/>
  <c r="D9" i="16"/>
  <c r="C9" i="16"/>
  <c r="C100" i="16" s="1"/>
  <c r="D7" i="16"/>
  <c r="C7" i="16"/>
  <c r="D5" i="16"/>
  <c r="D100" i="16" s="1"/>
  <c r="C5" i="16"/>
  <c r="D3" i="16"/>
  <c r="C3" i="16"/>
  <c r="D57" i="15"/>
  <c r="C57" i="15"/>
  <c r="D48" i="15"/>
  <c r="C48" i="15"/>
  <c r="D46" i="15"/>
  <c r="C46" i="15"/>
  <c r="D37" i="15"/>
  <c r="C37" i="15"/>
  <c r="D28" i="15"/>
  <c r="C28" i="15"/>
  <c r="D19" i="15"/>
  <c r="C19" i="15"/>
  <c r="D10" i="15"/>
  <c r="D58" i="15" s="1"/>
  <c r="C10" i="15"/>
  <c r="C58" i="15" s="1"/>
  <c r="F20" i="10"/>
  <c r="F18" i="10"/>
  <c r="F15" i="10"/>
  <c r="F13" i="10"/>
  <c r="F11" i="10"/>
  <c r="F9" i="10"/>
  <c r="F7" i="10"/>
  <c r="F21" i="10" s="1"/>
  <c r="F5" i="10"/>
  <c r="F3" i="10"/>
  <c r="F21" i="9"/>
  <c r="F19" i="9"/>
  <c r="F17" i="9"/>
  <c r="F15" i="9"/>
  <c r="F13" i="9"/>
  <c r="F11" i="9"/>
  <c r="F9" i="9"/>
  <c r="F7" i="9"/>
  <c r="F5" i="9"/>
  <c r="F3" i="9"/>
  <c r="F22" i="9" s="1"/>
  <c r="F14" i="8"/>
  <c r="F10" i="8"/>
  <c r="F4" i="8"/>
  <c r="F15" i="8" s="1"/>
  <c r="D55" i="5"/>
  <c r="C55" i="5"/>
  <c r="D47" i="5"/>
  <c r="C47" i="5"/>
  <c r="D32" i="5"/>
  <c r="C32" i="5"/>
  <c r="D24" i="5"/>
  <c r="C24" i="5"/>
  <c r="D9" i="5"/>
  <c r="C9" i="5"/>
  <c r="D55" i="7"/>
  <c r="B55" i="7"/>
  <c r="D47" i="7"/>
  <c r="B47" i="7"/>
  <c r="D32" i="7"/>
  <c r="D56" i="7" s="1"/>
  <c r="B32" i="7"/>
  <c r="D24" i="7"/>
  <c r="B24" i="7"/>
  <c r="D9" i="7"/>
  <c r="B9" i="7"/>
  <c r="B56" i="7" s="1"/>
  <c r="D55" i="6"/>
  <c r="D47" i="6"/>
  <c r="D32" i="6"/>
  <c r="D24" i="6"/>
  <c r="D9" i="6"/>
  <c r="D56" i="6" s="1"/>
  <c r="F17" i="2"/>
  <c r="F14" i="2"/>
  <c r="F12" i="2"/>
  <c r="F9" i="2"/>
  <c r="F6" i="2"/>
  <c r="F3" i="2"/>
  <c r="F18" i="2" s="1"/>
  <c r="F14" i="1"/>
  <c r="F10" i="1"/>
  <c r="F4" i="1"/>
  <c r="F15" i="1" s="1"/>
  <c r="C56" i="5" l="1"/>
  <c r="D56" i="5"/>
</calcChain>
</file>

<file path=xl/sharedStrings.xml><?xml version="1.0" encoding="utf-8"?>
<sst xmlns="http://schemas.openxmlformats.org/spreadsheetml/2006/main" count="844" uniqueCount="100">
  <si>
    <t>Roll No</t>
  </si>
  <si>
    <t>First Name</t>
  </si>
  <si>
    <t>Middle Name</t>
  </si>
  <si>
    <t>Last Name</t>
  </si>
  <si>
    <t>Stream</t>
  </si>
  <si>
    <t xml:space="preserve">Marks </t>
  </si>
  <si>
    <t>DOA</t>
  </si>
  <si>
    <t>City</t>
  </si>
  <si>
    <t>Sarthak</t>
  </si>
  <si>
    <t>J</t>
  </si>
  <si>
    <t>Parikh</t>
  </si>
  <si>
    <t>Science</t>
  </si>
  <si>
    <t>delhi</t>
  </si>
  <si>
    <t>Kunj</t>
  </si>
  <si>
    <t>K</t>
  </si>
  <si>
    <t>Desai</t>
  </si>
  <si>
    <t>Commerce</t>
  </si>
  <si>
    <t>surat</t>
  </si>
  <si>
    <t>Vivek</t>
  </si>
  <si>
    <t>A</t>
  </si>
  <si>
    <t>Chauhan</t>
  </si>
  <si>
    <t>chennai</t>
  </si>
  <si>
    <t>Dhruvin</t>
  </si>
  <si>
    <t>V</t>
  </si>
  <si>
    <t>Mehta</t>
  </si>
  <si>
    <t>mumbai</t>
  </si>
  <si>
    <t>Yash</t>
  </si>
  <si>
    <t>Prajapati</t>
  </si>
  <si>
    <t>Arts</t>
  </si>
  <si>
    <t>Dev</t>
  </si>
  <si>
    <t>B</t>
  </si>
  <si>
    <t>Modi</t>
  </si>
  <si>
    <t>Jash</t>
  </si>
  <si>
    <t>S</t>
  </si>
  <si>
    <t>banglore</t>
  </si>
  <si>
    <t>Harsh</t>
  </si>
  <si>
    <t>Vadera</t>
  </si>
  <si>
    <t>Janak</t>
  </si>
  <si>
    <t>U</t>
  </si>
  <si>
    <t>Vyas</t>
  </si>
  <si>
    <t>jodhpur</t>
  </si>
  <si>
    <t>Meet</t>
  </si>
  <si>
    <t>R</t>
  </si>
  <si>
    <t>Raval</t>
  </si>
  <si>
    <t>Arts Total</t>
  </si>
  <si>
    <t>Commerce Total</t>
  </si>
  <si>
    <t>Science Total</t>
  </si>
  <si>
    <t>Grand Total</t>
  </si>
  <si>
    <t>banglore Average</t>
  </si>
  <si>
    <t>chennai Average</t>
  </si>
  <si>
    <t>delhi Average</t>
  </si>
  <si>
    <t>jodhpur Average</t>
  </si>
  <si>
    <t>mumbai Average</t>
  </si>
  <si>
    <t>surat Average</t>
  </si>
  <si>
    <t>Grand Average</t>
  </si>
  <si>
    <t>Color</t>
  </si>
  <si>
    <t>Size</t>
  </si>
  <si>
    <t>Number Of Units In Warehouse-1</t>
  </si>
  <si>
    <t>Number Of Units In Warehouse-2</t>
  </si>
  <si>
    <t>White</t>
  </si>
  <si>
    <t>Black</t>
  </si>
  <si>
    <t>Pink</t>
  </si>
  <si>
    <t>Green</t>
  </si>
  <si>
    <t>Beige</t>
  </si>
  <si>
    <t>Beige Total</t>
  </si>
  <si>
    <t>Black Total</t>
  </si>
  <si>
    <t>Green Total</t>
  </si>
  <si>
    <t>Pink Total</t>
  </si>
  <si>
    <t>White Total</t>
  </si>
  <si>
    <t>Marks</t>
  </si>
  <si>
    <t>pune</t>
  </si>
  <si>
    <t>mumbai Total</t>
  </si>
  <si>
    <t>delhi Total</t>
  </si>
  <si>
    <t>pune Total</t>
  </si>
  <si>
    <t>surat Total</t>
  </si>
  <si>
    <t>chennai Total</t>
  </si>
  <si>
    <t>banglore Total</t>
  </si>
  <si>
    <t>jodhpur Total</t>
  </si>
  <si>
    <t>Color Name</t>
  </si>
  <si>
    <t xml:space="preserve">white </t>
  </si>
  <si>
    <t>pink</t>
  </si>
  <si>
    <t>orange</t>
  </si>
  <si>
    <t xml:space="preserve">green </t>
  </si>
  <si>
    <t>beige</t>
  </si>
  <si>
    <t>black</t>
  </si>
  <si>
    <t>red</t>
  </si>
  <si>
    <t>beige Total</t>
  </si>
  <si>
    <t>black Total</t>
  </si>
  <si>
    <t>green  Total</t>
  </si>
  <si>
    <t>orange Total</t>
  </si>
  <si>
    <t>pink Total</t>
  </si>
  <si>
    <t>red Total</t>
  </si>
  <si>
    <t>white  Total</t>
  </si>
  <si>
    <t>10 Total</t>
  </si>
  <si>
    <t>8 Total</t>
  </si>
  <si>
    <t>6 Total</t>
  </si>
  <si>
    <t>4 Total</t>
  </si>
  <si>
    <t>2 Total</t>
  </si>
  <si>
    <t>14 Total</t>
  </si>
  <si>
    <t>12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</si>
</sst>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4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vivek-data-analysis\data-validation.xlsx" TargetMode="External"/><Relationship Id="rId1" Type="http://schemas.openxmlformats.org/officeDocument/2006/relationships/externalLinkPath" Target="data-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-Validation-learning"/>
      <sheetName val="Data-Validation-Practice"/>
      <sheetName val="cities"/>
      <sheetName val="Data-Validation Practice Day"/>
      <sheetName val="City"/>
    </sheetNames>
    <sheetDataSet>
      <sheetData sheetId="0"/>
      <sheetData sheetId="1"/>
      <sheetData sheetId="2">
        <row r="1">
          <cell r="A1" t="str">
            <v>city</v>
          </cell>
        </row>
        <row r="2">
          <cell r="A2" t="str">
            <v>surat</v>
          </cell>
        </row>
        <row r="3">
          <cell r="A3" t="str">
            <v>mumbai</v>
          </cell>
        </row>
        <row r="4">
          <cell r="A4" t="str">
            <v>delhi</v>
          </cell>
        </row>
        <row r="5">
          <cell r="A5" t="str">
            <v>chennai</v>
          </cell>
        </row>
        <row r="6">
          <cell r="A6" t="str">
            <v>banglore</v>
          </cell>
        </row>
        <row r="7">
          <cell r="A7" t="str">
            <v>jodhpur</v>
          </cell>
        </row>
        <row r="8">
          <cell r="A8" t="str">
            <v>banglore</v>
          </cell>
        </row>
        <row r="9">
          <cell r="A9" t="str">
            <v>pune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2771-D24D-49ED-A56E-8C56D2279AC3}">
  <dimension ref="A1:H15"/>
  <sheetViews>
    <sheetView workbookViewId="0">
      <selection activeCell="H23" sqref="H23"/>
    </sheetView>
  </sheetViews>
  <sheetFormatPr defaultRowHeight="14.4" outlineLevelRow="2" x14ac:dyDescent="0.3"/>
  <cols>
    <col min="1" max="8" width="13.109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outlineLevel="2" x14ac:dyDescent="0.3">
      <c r="A2" s="2">
        <v>5</v>
      </c>
      <c r="B2" s="2" t="s">
        <v>26</v>
      </c>
      <c r="C2" s="2" t="s">
        <v>19</v>
      </c>
      <c r="D2" s="2" t="s">
        <v>27</v>
      </c>
      <c r="E2" s="2" t="s">
        <v>28</v>
      </c>
      <c r="F2" s="2">
        <v>75.209999999999994</v>
      </c>
      <c r="G2" s="3">
        <v>37020</v>
      </c>
      <c r="H2" s="2" t="s">
        <v>12</v>
      </c>
    </row>
    <row r="3" spans="1:8" outlineLevel="2" x14ac:dyDescent="0.3">
      <c r="A3" s="2">
        <v>10</v>
      </c>
      <c r="B3" s="2" t="s">
        <v>41</v>
      </c>
      <c r="C3" s="2" t="s">
        <v>42</v>
      </c>
      <c r="D3" s="2" t="s">
        <v>43</v>
      </c>
      <c r="E3" s="2" t="s">
        <v>28</v>
      </c>
      <c r="F3" s="2">
        <v>78</v>
      </c>
      <c r="G3" s="3">
        <v>36912</v>
      </c>
      <c r="H3" s="2" t="s">
        <v>40</v>
      </c>
    </row>
    <row r="4" spans="1:8" outlineLevel="1" x14ac:dyDescent="0.3">
      <c r="A4" s="2"/>
      <c r="B4" s="2"/>
      <c r="C4" s="2"/>
      <c r="D4" s="2"/>
      <c r="E4" s="4" t="s">
        <v>44</v>
      </c>
      <c r="F4" s="2">
        <f>SUBTOTAL(9,F2:F3)</f>
        <v>153.20999999999998</v>
      </c>
      <c r="G4" s="3"/>
      <c r="H4" s="2"/>
    </row>
    <row r="5" spans="1:8" outlineLevel="2" x14ac:dyDescent="0.3">
      <c r="A5" s="2">
        <v>2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99.99</v>
      </c>
      <c r="G5" s="3">
        <v>37407</v>
      </c>
      <c r="H5" s="2" t="s">
        <v>17</v>
      </c>
    </row>
    <row r="6" spans="1:8" outlineLevel="2" x14ac:dyDescent="0.3">
      <c r="A6" s="2">
        <v>4</v>
      </c>
      <c r="B6" s="2" t="s">
        <v>22</v>
      </c>
      <c r="C6" s="2" t="s">
        <v>23</v>
      </c>
      <c r="D6" s="2" t="s">
        <v>24</v>
      </c>
      <c r="E6" s="2" t="s">
        <v>16</v>
      </c>
      <c r="F6" s="2">
        <v>65</v>
      </c>
      <c r="G6" s="3">
        <v>36906</v>
      </c>
      <c r="H6" s="2" t="s">
        <v>25</v>
      </c>
    </row>
    <row r="7" spans="1:8" outlineLevel="2" x14ac:dyDescent="0.3">
      <c r="A7" s="2">
        <v>52</v>
      </c>
      <c r="B7" s="2" t="s">
        <v>29</v>
      </c>
      <c r="C7" s="2" t="s">
        <v>30</v>
      </c>
      <c r="D7" s="2" t="s">
        <v>31</v>
      </c>
      <c r="E7" s="2" t="s">
        <v>16</v>
      </c>
      <c r="F7" s="2">
        <v>68</v>
      </c>
      <c r="G7" s="3">
        <v>37016</v>
      </c>
      <c r="H7" s="2" t="s">
        <v>21</v>
      </c>
    </row>
    <row r="8" spans="1:8" outlineLevel="2" x14ac:dyDescent="0.3">
      <c r="A8" s="2">
        <v>8</v>
      </c>
      <c r="B8" s="2" t="s">
        <v>35</v>
      </c>
      <c r="C8" s="2" t="s">
        <v>23</v>
      </c>
      <c r="D8" s="2" t="s">
        <v>36</v>
      </c>
      <c r="E8" s="2" t="s">
        <v>16</v>
      </c>
      <c r="F8" s="2">
        <v>82.65</v>
      </c>
      <c r="G8" s="3">
        <v>37578</v>
      </c>
      <c r="H8" s="2" t="s">
        <v>17</v>
      </c>
    </row>
    <row r="9" spans="1:8" outlineLevel="2" x14ac:dyDescent="0.3">
      <c r="A9" s="2">
        <v>9</v>
      </c>
      <c r="B9" s="2" t="s">
        <v>37</v>
      </c>
      <c r="C9" s="2" t="s">
        <v>38</v>
      </c>
      <c r="D9" s="2" t="s">
        <v>39</v>
      </c>
      <c r="E9" s="2" t="s">
        <v>16</v>
      </c>
      <c r="F9" s="2">
        <v>89.55</v>
      </c>
      <c r="G9" s="3">
        <v>37579</v>
      </c>
      <c r="H9" s="2" t="s">
        <v>40</v>
      </c>
    </row>
    <row r="10" spans="1:8" outlineLevel="1" x14ac:dyDescent="0.3">
      <c r="A10" s="2"/>
      <c r="B10" s="2"/>
      <c r="C10" s="2"/>
      <c r="D10" s="2"/>
      <c r="E10" s="4" t="s">
        <v>45</v>
      </c>
      <c r="F10" s="2">
        <f>SUBTOTAL(9,F5:F9)</f>
        <v>405.19</v>
      </c>
      <c r="G10" s="3"/>
      <c r="H10" s="2"/>
    </row>
    <row r="11" spans="1:8" outlineLevel="2" x14ac:dyDescent="0.3">
      <c r="A11" s="2">
        <v>1</v>
      </c>
      <c r="B11" s="2" t="s">
        <v>8</v>
      </c>
      <c r="C11" s="2" t="s">
        <v>9</v>
      </c>
      <c r="D11" s="2" t="s">
        <v>10</v>
      </c>
      <c r="E11" s="2" t="s">
        <v>11</v>
      </c>
      <c r="F11" s="2">
        <v>50</v>
      </c>
      <c r="G11" s="3">
        <v>37387</v>
      </c>
      <c r="H11" s="2" t="s">
        <v>12</v>
      </c>
    </row>
    <row r="12" spans="1:8" outlineLevel="2" x14ac:dyDescent="0.3">
      <c r="A12" s="2">
        <v>3</v>
      </c>
      <c r="B12" s="2" t="s">
        <v>18</v>
      </c>
      <c r="C12" s="2" t="s">
        <v>19</v>
      </c>
      <c r="D12" s="2" t="s">
        <v>20</v>
      </c>
      <c r="E12" s="2" t="s">
        <v>11</v>
      </c>
      <c r="F12" s="2">
        <v>90.35</v>
      </c>
      <c r="G12" s="3">
        <v>37299</v>
      </c>
      <c r="H12" s="2" t="s">
        <v>21</v>
      </c>
    </row>
    <row r="13" spans="1:8" outlineLevel="2" x14ac:dyDescent="0.3">
      <c r="A13" s="2">
        <v>7</v>
      </c>
      <c r="B13" s="2" t="s">
        <v>32</v>
      </c>
      <c r="C13" s="2" t="s">
        <v>33</v>
      </c>
      <c r="D13" s="2" t="s">
        <v>24</v>
      </c>
      <c r="E13" s="2" t="s">
        <v>11</v>
      </c>
      <c r="F13" s="2">
        <v>72.11</v>
      </c>
      <c r="G13" s="3">
        <v>37371</v>
      </c>
      <c r="H13" s="2" t="s">
        <v>34</v>
      </c>
    </row>
    <row r="14" spans="1:8" outlineLevel="1" x14ac:dyDescent="0.3">
      <c r="A14" s="2"/>
      <c r="B14" s="2"/>
      <c r="C14" s="2"/>
      <c r="D14" s="2"/>
      <c r="E14" s="4" t="s">
        <v>46</v>
      </c>
      <c r="F14" s="2">
        <f>SUBTOTAL(9,F11:F13)</f>
        <v>212.45999999999998</v>
      </c>
      <c r="G14" s="3"/>
      <c r="H14" s="2"/>
    </row>
    <row r="15" spans="1:8" x14ac:dyDescent="0.3">
      <c r="A15" s="2"/>
      <c r="B15" s="2"/>
      <c r="C15" s="2"/>
      <c r="D15" s="2"/>
      <c r="E15" s="4" t="s">
        <v>47</v>
      </c>
      <c r="F15" s="2">
        <f>SUBTOTAL(9,F2:F13)</f>
        <v>770.86</v>
      </c>
      <c r="G15" s="3"/>
      <c r="H15" s="2"/>
    </row>
  </sheetData>
  <sortState xmlns:xlrd2="http://schemas.microsoft.com/office/spreadsheetml/2017/richdata2" ref="A2:H13">
    <sortCondition ref="E3:E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EA5D-DD21-4CEC-84F4-AF42EB8E2869}">
  <dimension ref="A1:H18"/>
  <sheetViews>
    <sheetView workbookViewId="0">
      <selection activeCell="N16" sqref="N16"/>
    </sheetView>
  </sheetViews>
  <sheetFormatPr defaultRowHeight="14.4" outlineLevelRow="2" x14ac:dyDescent="0.3"/>
  <cols>
    <col min="7" max="7" width="10.44140625" bestFit="1" customWidth="1"/>
    <col min="8" max="8" width="8.88671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outlineLevel="2" x14ac:dyDescent="0.3">
      <c r="A2" s="2">
        <v>7</v>
      </c>
      <c r="B2" s="2" t="s">
        <v>32</v>
      </c>
      <c r="C2" s="2" t="s">
        <v>33</v>
      </c>
      <c r="D2" s="2" t="s">
        <v>24</v>
      </c>
      <c r="E2" s="2" t="s">
        <v>11</v>
      </c>
      <c r="F2" s="2">
        <v>72.11</v>
      </c>
      <c r="G2" s="3">
        <v>37371</v>
      </c>
      <c r="H2" s="2" t="s">
        <v>34</v>
      </c>
    </row>
    <row r="3" spans="1:8" outlineLevel="1" x14ac:dyDescent="0.3">
      <c r="A3" s="2"/>
      <c r="B3" s="2"/>
      <c r="C3" s="2"/>
      <c r="D3" s="2"/>
      <c r="E3" s="2"/>
      <c r="F3" s="2">
        <f>SUBTOTAL(1,F2:F2)</f>
        <v>72.11</v>
      </c>
      <c r="G3" s="3"/>
      <c r="H3" s="4" t="s">
        <v>48</v>
      </c>
    </row>
    <row r="4" spans="1:8" outlineLevel="2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11</v>
      </c>
      <c r="F4" s="2">
        <v>90.35</v>
      </c>
      <c r="G4" s="3">
        <v>37299</v>
      </c>
      <c r="H4" s="2" t="s">
        <v>21</v>
      </c>
    </row>
    <row r="5" spans="1:8" outlineLevel="2" x14ac:dyDescent="0.3">
      <c r="A5" s="2">
        <v>52</v>
      </c>
      <c r="B5" s="2" t="s">
        <v>29</v>
      </c>
      <c r="C5" s="2" t="s">
        <v>30</v>
      </c>
      <c r="D5" s="2" t="s">
        <v>31</v>
      </c>
      <c r="E5" s="2" t="s">
        <v>16</v>
      </c>
      <c r="F5" s="2">
        <v>68</v>
      </c>
      <c r="G5" s="3">
        <v>37016</v>
      </c>
      <c r="H5" s="2" t="s">
        <v>21</v>
      </c>
    </row>
    <row r="6" spans="1:8" outlineLevel="1" x14ac:dyDescent="0.3">
      <c r="A6" s="2"/>
      <c r="B6" s="2"/>
      <c r="C6" s="2"/>
      <c r="D6" s="2"/>
      <c r="E6" s="2"/>
      <c r="F6" s="2">
        <f>SUBTOTAL(1,F4:F5)</f>
        <v>79.174999999999997</v>
      </c>
      <c r="G6" s="3"/>
      <c r="H6" s="4" t="s">
        <v>49</v>
      </c>
    </row>
    <row r="7" spans="1:8" outlineLevel="2" x14ac:dyDescent="0.3">
      <c r="A7" s="2">
        <v>1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50</v>
      </c>
      <c r="G7" s="3">
        <v>37387</v>
      </c>
      <c r="H7" s="2" t="s">
        <v>12</v>
      </c>
    </row>
    <row r="8" spans="1:8" outlineLevel="2" x14ac:dyDescent="0.3">
      <c r="A8" s="2">
        <v>5</v>
      </c>
      <c r="B8" s="2" t="s">
        <v>26</v>
      </c>
      <c r="C8" s="2" t="s">
        <v>19</v>
      </c>
      <c r="D8" s="2" t="s">
        <v>27</v>
      </c>
      <c r="E8" s="2" t="s">
        <v>28</v>
      </c>
      <c r="F8" s="2">
        <v>75.209999999999994</v>
      </c>
      <c r="G8" s="3">
        <v>37020</v>
      </c>
      <c r="H8" s="2" t="s">
        <v>12</v>
      </c>
    </row>
    <row r="9" spans="1:8" outlineLevel="1" x14ac:dyDescent="0.3">
      <c r="A9" s="2"/>
      <c r="B9" s="2"/>
      <c r="C9" s="2"/>
      <c r="D9" s="2"/>
      <c r="E9" s="2"/>
      <c r="F9" s="2">
        <f>SUBTOTAL(1,F7:F8)</f>
        <v>62.604999999999997</v>
      </c>
      <c r="G9" s="3"/>
      <c r="H9" s="4" t="s">
        <v>50</v>
      </c>
    </row>
    <row r="10" spans="1:8" outlineLevel="2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16</v>
      </c>
      <c r="F10" s="2">
        <v>89.55</v>
      </c>
      <c r="G10" s="3">
        <v>37579</v>
      </c>
      <c r="H10" s="2" t="s">
        <v>40</v>
      </c>
    </row>
    <row r="11" spans="1:8" outlineLevel="2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28</v>
      </c>
      <c r="F11" s="2">
        <v>78</v>
      </c>
      <c r="G11" s="3">
        <v>36912</v>
      </c>
      <c r="H11" s="2" t="s">
        <v>40</v>
      </c>
    </row>
    <row r="12" spans="1:8" outlineLevel="1" x14ac:dyDescent="0.3">
      <c r="A12" s="2"/>
      <c r="B12" s="2"/>
      <c r="C12" s="2"/>
      <c r="D12" s="2"/>
      <c r="E12" s="2"/>
      <c r="F12" s="2">
        <f>SUBTOTAL(1,F10:F11)</f>
        <v>83.775000000000006</v>
      </c>
      <c r="G12" s="3"/>
      <c r="H12" s="4" t="s">
        <v>51</v>
      </c>
    </row>
    <row r="13" spans="1:8" outlineLevel="2" x14ac:dyDescent="0.3">
      <c r="A13" s="2">
        <v>4</v>
      </c>
      <c r="B13" s="2" t="s">
        <v>22</v>
      </c>
      <c r="C13" s="2" t="s">
        <v>23</v>
      </c>
      <c r="D13" s="2" t="s">
        <v>24</v>
      </c>
      <c r="E13" s="2" t="s">
        <v>16</v>
      </c>
      <c r="F13" s="2">
        <v>65</v>
      </c>
      <c r="G13" s="3">
        <v>36906</v>
      </c>
      <c r="H13" s="2" t="s">
        <v>25</v>
      </c>
    </row>
    <row r="14" spans="1:8" outlineLevel="1" x14ac:dyDescent="0.3">
      <c r="A14" s="2"/>
      <c r="B14" s="2"/>
      <c r="C14" s="2"/>
      <c r="D14" s="2"/>
      <c r="E14" s="2"/>
      <c r="F14" s="2">
        <f>SUBTOTAL(1,F13:F13)</f>
        <v>65</v>
      </c>
      <c r="G14" s="3"/>
      <c r="H14" s="4" t="s">
        <v>52</v>
      </c>
    </row>
    <row r="15" spans="1:8" outlineLevel="2" x14ac:dyDescent="0.3">
      <c r="A15" s="2">
        <v>2</v>
      </c>
      <c r="B15" s="2" t="s">
        <v>13</v>
      </c>
      <c r="C15" s="2" t="s">
        <v>14</v>
      </c>
      <c r="D15" s="2" t="s">
        <v>15</v>
      </c>
      <c r="E15" s="2" t="s">
        <v>16</v>
      </c>
      <c r="F15" s="2">
        <v>99.99</v>
      </c>
      <c r="G15" s="3">
        <v>37407</v>
      </c>
      <c r="H15" s="2" t="s">
        <v>17</v>
      </c>
    </row>
    <row r="16" spans="1:8" outlineLevel="2" x14ac:dyDescent="0.3">
      <c r="A16" s="2">
        <v>8</v>
      </c>
      <c r="B16" s="2" t="s">
        <v>35</v>
      </c>
      <c r="C16" s="2" t="s">
        <v>23</v>
      </c>
      <c r="D16" s="2" t="s">
        <v>36</v>
      </c>
      <c r="E16" s="2" t="s">
        <v>16</v>
      </c>
      <c r="F16" s="2">
        <v>82.65</v>
      </c>
      <c r="G16" s="3">
        <v>37578</v>
      </c>
      <c r="H16" s="2" t="s">
        <v>17</v>
      </c>
    </row>
    <row r="17" spans="1:8" outlineLevel="1" x14ac:dyDescent="0.3">
      <c r="A17" s="2"/>
      <c r="B17" s="2"/>
      <c r="C17" s="2"/>
      <c r="D17" s="2"/>
      <c r="E17" s="2"/>
      <c r="F17" s="2">
        <f>SUBTOTAL(1,F15:F16)</f>
        <v>91.32</v>
      </c>
      <c r="G17" s="3"/>
      <c r="H17" s="4" t="s">
        <v>53</v>
      </c>
    </row>
    <row r="18" spans="1:8" x14ac:dyDescent="0.3">
      <c r="A18" s="2"/>
      <c r="B18" s="2"/>
      <c r="C18" s="2"/>
      <c r="D18" s="2"/>
      <c r="E18" s="2"/>
      <c r="F18" s="2">
        <f>SUBTOTAL(1,F2:F16)</f>
        <v>77.085999999999999</v>
      </c>
      <c r="G18" s="3"/>
      <c r="H18" s="4" t="s">
        <v>54</v>
      </c>
    </row>
  </sheetData>
  <sortState xmlns:xlrd2="http://schemas.microsoft.com/office/spreadsheetml/2017/richdata2" ref="A2:H16">
    <sortCondition ref="H5:H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8132-C1B9-4903-975E-C294C7EBD00A}">
  <dimension ref="A1:H11"/>
  <sheetViews>
    <sheetView workbookViewId="0">
      <selection activeCell="H23" sqref="H22:H23"/>
    </sheetView>
  </sheetViews>
  <sheetFormatPr defaultRowHeight="14.4" x14ac:dyDescent="0.3"/>
  <cols>
    <col min="1" max="8" width="12.5546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</v>
      </c>
      <c r="G2" s="3">
        <v>37387</v>
      </c>
      <c r="H2" s="2" t="s">
        <v>12</v>
      </c>
    </row>
    <row r="3" spans="1:8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99.99</v>
      </c>
      <c r="G3" s="3">
        <v>37407</v>
      </c>
      <c r="H3" s="2" t="s">
        <v>17</v>
      </c>
    </row>
    <row r="4" spans="1:8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11</v>
      </c>
      <c r="F4" s="2">
        <v>90.35</v>
      </c>
      <c r="G4" s="3">
        <v>37299</v>
      </c>
      <c r="H4" s="2" t="s">
        <v>21</v>
      </c>
    </row>
    <row r="5" spans="1:8" x14ac:dyDescent="0.3">
      <c r="A5" s="2">
        <v>4</v>
      </c>
      <c r="B5" s="2" t="s">
        <v>22</v>
      </c>
      <c r="C5" s="2" t="s">
        <v>23</v>
      </c>
      <c r="D5" s="2" t="s">
        <v>24</v>
      </c>
      <c r="E5" s="2" t="s">
        <v>16</v>
      </c>
      <c r="F5" s="2">
        <v>65</v>
      </c>
      <c r="G5" s="3">
        <v>36906</v>
      </c>
      <c r="H5" s="2" t="s">
        <v>25</v>
      </c>
    </row>
    <row r="6" spans="1:8" x14ac:dyDescent="0.3">
      <c r="A6" s="2">
        <v>5</v>
      </c>
      <c r="B6" s="2" t="s">
        <v>26</v>
      </c>
      <c r="C6" s="2" t="s">
        <v>19</v>
      </c>
      <c r="D6" s="2" t="s">
        <v>27</v>
      </c>
      <c r="E6" s="2" t="s">
        <v>28</v>
      </c>
      <c r="F6" s="2">
        <v>75.209999999999994</v>
      </c>
      <c r="G6" s="3">
        <v>37020</v>
      </c>
      <c r="H6" s="2" t="s">
        <v>12</v>
      </c>
    </row>
    <row r="7" spans="1:8" x14ac:dyDescent="0.3">
      <c r="A7" s="2">
        <v>52</v>
      </c>
      <c r="B7" s="2" t="s">
        <v>29</v>
      </c>
      <c r="C7" s="2" t="s">
        <v>30</v>
      </c>
      <c r="D7" s="2" t="s">
        <v>31</v>
      </c>
      <c r="E7" s="2" t="s">
        <v>16</v>
      </c>
      <c r="F7" s="2">
        <v>68</v>
      </c>
      <c r="G7" s="3">
        <v>37016</v>
      </c>
      <c r="H7" s="2" t="s">
        <v>21</v>
      </c>
    </row>
    <row r="8" spans="1:8" x14ac:dyDescent="0.3">
      <c r="A8" s="2">
        <v>7</v>
      </c>
      <c r="B8" s="2" t="s">
        <v>32</v>
      </c>
      <c r="C8" s="2" t="s">
        <v>33</v>
      </c>
      <c r="D8" s="2" t="s">
        <v>24</v>
      </c>
      <c r="E8" s="2" t="s">
        <v>11</v>
      </c>
      <c r="F8" s="2">
        <v>72.11</v>
      </c>
      <c r="G8" s="3">
        <v>37371</v>
      </c>
      <c r="H8" s="2" t="s">
        <v>34</v>
      </c>
    </row>
    <row r="9" spans="1:8" x14ac:dyDescent="0.3">
      <c r="A9" s="2">
        <v>8</v>
      </c>
      <c r="B9" s="2" t="s">
        <v>35</v>
      </c>
      <c r="C9" s="2" t="s">
        <v>23</v>
      </c>
      <c r="D9" s="2" t="s">
        <v>36</v>
      </c>
      <c r="E9" s="2" t="s">
        <v>16</v>
      </c>
      <c r="F9" s="2">
        <v>82.65</v>
      </c>
      <c r="G9" s="3">
        <v>37578</v>
      </c>
      <c r="H9" s="2" t="s">
        <v>17</v>
      </c>
    </row>
    <row r="10" spans="1:8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16</v>
      </c>
      <c r="F10" s="2">
        <v>89.55</v>
      </c>
      <c r="G10" s="3">
        <v>37579</v>
      </c>
      <c r="H10" s="2" t="s">
        <v>40</v>
      </c>
    </row>
    <row r="11" spans="1:8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28</v>
      </c>
      <c r="F11" s="2">
        <v>78</v>
      </c>
      <c r="G11" s="3">
        <v>36912</v>
      </c>
      <c r="H11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8AEB-6314-4E2A-9FD1-80BFE3BABE15}">
  <dimension ref="A1:H11"/>
  <sheetViews>
    <sheetView workbookViewId="0">
      <selection activeCell="G5" sqref="G5"/>
    </sheetView>
  </sheetViews>
  <sheetFormatPr defaultRowHeight="14.4" x14ac:dyDescent="0.3"/>
  <cols>
    <col min="7" max="7" width="10.4414062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</v>
      </c>
      <c r="G2" s="3">
        <v>37387</v>
      </c>
      <c r="H2" s="2" t="s">
        <v>12</v>
      </c>
    </row>
    <row r="3" spans="1:8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99.99</v>
      </c>
      <c r="G3" s="3">
        <v>37407</v>
      </c>
      <c r="H3" s="2" t="s">
        <v>17</v>
      </c>
    </row>
    <row r="4" spans="1:8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11</v>
      </c>
      <c r="F4" s="2">
        <v>90.35</v>
      </c>
      <c r="G4" s="3">
        <v>37299</v>
      </c>
      <c r="H4" s="2" t="s">
        <v>21</v>
      </c>
    </row>
    <row r="5" spans="1:8" x14ac:dyDescent="0.3">
      <c r="A5" s="2">
        <v>4</v>
      </c>
      <c r="B5" s="2" t="s">
        <v>22</v>
      </c>
      <c r="C5" s="2" t="s">
        <v>23</v>
      </c>
      <c r="D5" s="2" t="s">
        <v>24</v>
      </c>
      <c r="E5" s="2" t="s">
        <v>16</v>
      </c>
      <c r="F5" s="2">
        <v>65</v>
      </c>
      <c r="G5" s="3">
        <v>36906</v>
      </c>
      <c r="H5" s="2" t="s">
        <v>25</v>
      </c>
    </row>
    <row r="6" spans="1:8" x14ac:dyDescent="0.3">
      <c r="A6" s="2">
        <v>5</v>
      </c>
      <c r="B6" s="2" t="s">
        <v>26</v>
      </c>
      <c r="C6" s="2" t="s">
        <v>19</v>
      </c>
      <c r="D6" s="2" t="s">
        <v>27</v>
      </c>
      <c r="E6" s="2" t="s">
        <v>28</v>
      </c>
      <c r="F6" s="2">
        <v>75.209999999999994</v>
      </c>
      <c r="G6" s="3">
        <v>37020</v>
      </c>
      <c r="H6" s="2" t="s">
        <v>12</v>
      </c>
    </row>
    <row r="7" spans="1:8" x14ac:dyDescent="0.3">
      <c r="A7" s="2">
        <v>52</v>
      </c>
      <c r="B7" s="2" t="s">
        <v>29</v>
      </c>
      <c r="C7" s="2" t="s">
        <v>30</v>
      </c>
      <c r="D7" s="2" t="s">
        <v>31</v>
      </c>
      <c r="E7" s="2" t="s">
        <v>16</v>
      </c>
      <c r="F7" s="2">
        <v>68</v>
      </c>
      <c r="G7" s="3">
        <v>37016</v>
      </c>
      <c r="H7" s="2" t="s">
        <v>21</v>
      </c>
    </row>
    <row r="8" spans="1:8" x14ac:dyDescent="0.3">
      <c r="A8" s="2">
        <v>7</v>
      </c>
      <c r="B8" s="2" t="s">
        <v>32</v>
      </c>
      <c r="C8" s="2" t="s">
        <v>33</v>
      </c>
      <c r="D8" s="2" t="s">
        <v>24</v>
      </c>
      <c r="E8" s="2" t="s">
        <v>11</v>
      </c>
      <c r="F8" s="2">
        <v>72.11</v>
      </c>
      <c r="G8" s="3">
        <v>37371</v>
      </c>
      <c r="H8" s="2" t="s">
        <v>34</v>
      </c>
    </row>
    <row r="9" spans="1:8" x14ac:dyDescent="0.3">
      <c r="A9" s="2">
        <v>8</v>
      </c>
      <c r="B9" s="2" t="s">
        <v>35</v>
      </c>
      <c r="C9" s="2" t="s">
        <v>23</v>
      </c>
      <c r="D9" s="2" t="s">
        <v>36</v>
      </c>
      <c r="E9" s="2" t="s">
        <v>16</v>
      </c>
      <c r="F9" s="2">
        <v>82.65</v>
      </c>
      <c r="G9" s="3">
        <v>37578</v>
      </c>
      <c r="H9" s="2" t="s">
        <v>17</v>
      </c>
    </row>
    <row r="10" spans="1:8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16</v>
      </c>
      <c r="F10" s="2">
        <v>89.55</v>
      </c>
      <c r="G10" s="3">
        <v>37579</v>
      </c>
      <c r="H10" s="2" t="s">
        <v>40</v>
      </c>
    </row>
    <row r="11" spans="1:8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28</v>
      </c>
      <c r="F11" s="2">
        <v>78</v>
      </c>
      <c r="G11" s="3">
        <v>36912</v>
      </c>
      <c r="H11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7D8-5B23-4C55-8196-477A49991104}">
  <dimension ref="A1:D56"/>
  <sheetViews>
    <sheetView zoomScale="94" workbookViewId="0">
      <selection activeCell="B3" sqref="B3"/>
    </sheetView>
  </sheetViews>
  <sheetFormatPr defaultColWidth="9.109375" defaultRowHeight="14.4" outlineLevelRow="2" x14ac:dyDescent="0.3"/>
  <cols>
    <col min="1" max="4" width="42.109375" style="2" customWidth="1"/>
    <col min="5" max="10" width="32.44140625" style="2" customWidth="1"/>
    <col min="11" max="16384" width="9.109375" style="2"/>
  </cols>
  <sheetData>
    <row r="1" spans="1:4" ht="18" x14ac:dyDescent="0.35">
      <c r="A1" s="5" t="s">
        <v>55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63</v>
      </c>
      <c r="B2" s="2">
        <v>10</v>
      </c>
      <c r="C2" s="2">
        <v>100</v>
      </c>
      <c r="D2" s="2">
        <v>120</v>
      </c>
    </row>
    <row r="3" spans="1:4" outlineLevel="2" x14ac:dyDescent="0.3">
      <c r="A3" s="2" t="s">
        <v>63</v>
      </c>
      <c r="B3" s="2">
        <v>6</v>
      </c>
      <c r="C3" s="2">
        <v>180</v>
      </c>
      <c r="D3" s="2">
        <v>90</v>
      </c>
    </row>
    <row r="4" spans="1:4" outlineLevel="2" x14ac:dyDescent="0.3">
      <c r="A4" s="2" t="s">
        <v>63</v>
      </c>
      <c r="B4" s="2">
        <v>2</v>
      </c>
      <c r="C4" s="2">
        <v>20</v>
      </c>
      <c r="D4" s="2">
        <v>50</v>
      </c>
    </row>
    <row r="5" spans="1:4" outlineLevel="2" x14ac:dyDescent="0.3">
      <c r="A5" s="2" t="s">
        <v>63</v>
      </c>
      <c r="B5" s="2">
        <v>10</v>
      </c>
      <c r="C5" s="2">
        <v>60</v>
      </c>
      <c r="D5" s="2">
        <v>60</v>
      </c>
    </row>
    <row r="6" spans="1:4" outlineLevel="2" x14ac:dyDescent="0.3">
      <c r="A6" s="2" t="s">
        <v>63</v>
      </c>
      <c r="B6" s="2">
        <v>12</v>
      </c>
      <c r="C6" s="2">
        <v>120</v>
      </c>
      <c r="D6" s="2">
        <v>20</v>
      </c>
    </row>
    <row r="7" spans="1:4" outlineLevel="2" x14ac:dyDescent="0.3">
      <c r="A7" s="2" t="s">
        <v>63</v>
      </c>
      <c r="B7" s="2">
        <v>8</v>
      </c>
      <c r="C7" s="2">
        <v>90</v>
      </c>
      <c r="D7" s="2">
        <v>40</v>
      </c>
    </row>
    <row r="8" spans="1:4" outlineLevel="2" x14ac:dyDescent="0.3">
      <c r="A8" s="2" t="s">
        <v>63</v>
      </c>
      <c r="B8" s="2">
        <v>4</v>
      </c>
      <c r="C8" s="2">
        <v>20</v>
      </c>
      <c r="D8" s="2">
        <v>40</v>
      </c>
    </row>
    <row r="9" spans="1:4" outlineLevel="1" x14ac:dyDescent="0.3">
      <c r="A9" s="4" t="s">
        <v>64</v>
      </c>
      <c r="C9" s="2">
        <f>SUBTOTAL(9,C2:C8)</f>
        <v>590</v>
      </c>
      <c r="D9" s="2">
        <f>SUBTOTAL(9,D2:D8)</f>
        <v>420</v>
      </c>
    </row>
    <row r="10" spans="1:4" outlineLevel="2" x14ac:dyDescent="0.3">
      <c r="A10" s="2" t="s">
        <v>60</v>
      </c>
      <c r="B10" s="2">
        <v>4</v>
      </c>
      <c r="C10" s="2">
        <v>90</v>
      </c>
      <c r="D10" s="2">
        <v>90</v>
      </c>
    </row>
    <row r="11" spans="1:4" outlineLevel="2" x14ac:dyDescent="0.3">
      <c r="A11" s="2" t="s">
        <v>60</v>
      </c>
      <c r="B11" s="2">
        <v>12</v>
      </c>
      <c r="C11" s="2">
        <v>120</v>
      </c>
      <c r="D11" s="2">
        <v>60</v>
      </c>
    </row>
    <row r="12" spans="1:4" outlineLevel="2" x14ac:dyDescent="0.3">
      <c r="A12" s="2" t="s">
        <v>60</v>
      </c>
      <c r="B12" s="2">
        <v>12</v>
      </c>
      <c r="C12" s="2">
        <v>40</v>
      </c>
      <c r="D12" s="2">
        <v>50</v>
      </c>
    </row>
    <row r="13" spans="1:4" outlineLevel="2" x14ac:dyDescent="0.3">
      <c r="A13" s="2" t="s">
        <v>60</v>
      </c>
      <c r="B13" s="2">
        <v>8</v>
      </c>
      <c r="C13" s="2">
        <v>90</v>
      </c>
      <c r="D13" s="2">
        <v>20</v>
      </c>
    </row>
    <row r="14" spans="1:4" outlineLevel="2" x14ac:dyDescent="0.3">
      <c r="A14" s="2" t="s">
        <v>60</v>
      </c>
      <c r="B14" s="2">
        <v>14</v>
      </c>
      <c r="C14" s="2">
        <v>60</v>
      </c>
      <c r="D14" s="2">
        <v>60</v>
      </c>
    </row>
    <row r="15" spans="1:4" outlineLevel="2" x14ac:dyDescent="0.3">
      <c r="A15" s="2" t="s">
        <v>60</v>
      </c>
      <c r="B15" s="2">
        <v>4</v>
      </c>
      <c r="C15" s="2">
        <v>90</v>
      </c>
      <c r="D15" s="2">
        <v>40</v>
      </c>
    </row>
    <row r="16" spans="1:4" outlineLevel="2" x14ac:dyDescent="0.3">
      <c r="A16" s="2" t="s">
        <v>60</v>
      </c>
      <c r="B16" s="2">
        <v>10</v>
      </c>
      <c r="C16" s="2">
        <v>100</v>
      </c>
      <c r="D16" s="2">
        <v>20</v>
      </c>
    </row>
    <row r="17" spans="1:4" outlineLevel="2" x14ac:dyDescent="0.3">
      <c r="A17" s="2" t="s">
        <v>60</v>
      </c>
      <c r="B17" s="2">
        <v>12</v>
      </c>
      <c r="C17" s="2">
        <v>40</v>
      </c>
      <c r="D17" s="2">
        <v>40</v>
      </c>
    </row>
    <row r="18" spans="1:4" outlineLevel="2" x14ac:dyDescent="0.3">
      <c r="A18" s="2" t="s">
        <v>60</v>
      </c>
      <c r="B18" s="2">
        <v>6</v>
      </c>
      <c r="C18" s="2">
        <v>180</v>
      </c>
      <c r="D18" s="2">
        <v>40</v>
      </c>
    </row>
    <row r="19" spans="1:4" outlineLevel="2" x14ac:dyDescent="0.3">
      <c r="A19" s="2" t="s">
        <v>60</v>
      </c>
      <c r="B19" s="2">
        <v>14</v>
      </c>
      <c r="C19" s="2">
        <v>60</v>
      </c>
      <c r="D19" s="2">
        <v>100</v>
      </c>
    </row>
    <row r="20" spans="1:4" outlineLevel="2" x14ac:dyDescent="0.3">
      <c r="A20" s="2" t="s">
        <v>60</v>
      </c>
      <c r="B20" s="2">
        <v>2</v>
      </c>
      <c r="C20" s="2">
        <v>20</v>
      </c>
      <c r="D20" s="2">
        <v>40</v>
      </c>
    </row>
    <row r="21" spans="1:4" outlineLevel="2" x14ac:dyDescent="0.3">
      <c r="A21" s="2" t="s">
        <v>60</v>
      </c>
      <c r="B21" s="2">
        <v>10</v>
      </c>
      <c r="C21" s="2">
        <v>100</v>
      </c>
      <c r="D21" s="2">
        <v>180</v>
      </c>
    </row>
    <row r="22" spans="1:4" outlineLevel="2" x14ac:dyDescent="0.3">
      <c r="A22" s="2" t="s">
        <v>60</v>
      </c>
      <c r="B22" s="2">
        <v>10</v>
      </c>
      <c r="C22" s="2">
        <v>60</v>
      </c>
      <c r="D22" s="2">
        <v>100</v>
      </c>
    </row>
    <row r="23" spans="1:4" outlineLevel="2" x14ac:dyDescent="0.3">
      <c r="A23" s="2" t="s">
        <v>60</v>
      </c>
      <c r="B23" s="2">
        <v>6</v>
      </c>
      <c r="C23" s="2">
        <v>90</v>
      </c>
      <c r="D23" s="2">
        <v>150</v>
      </c>
    </row>
    <row r="24" spans="1:4" outlineLevel="1" x14ac:dyDescent="0.3">
      <c r="A24" s="4" t="s">
        <v>65</v>
      </c>
      <c r="C24" s="2">
        <f>SUBTOTAL(9,C10:C23)</f>
        <v>1140</v>
      </c>
      <c r="D24" s="2">
        <f>SUBTOTAL(9,D10:D23)</f>
        <v>990</v>
      </c>
    </row>
    <row r="25" spans="1:4" outlineLevel="2" x14ac:dyDescent="0.3">
      <c r="A25" s="2" t="s">
        <v>62</v>
      </c>
      <c r="B25" s="2">
        <v>8</v>
      </c>
      <c r="C25" s="2">
        <v>90</v>
      </c>
      <c r="D25" s="2">
        <v>100</v>
      </c>
    </row>
    <row r="26" spans="1:4" outlineLevel="2" x14ac:dyDescent="0.3">
      <c r="A26" s="2" t="s">
        <v>62</v>
      </c>
      <c r="B26" s="2">
        <v>4</v>
      </c>
      <c r="C26" s="2">
        <v>90</v>
      </c>
      <c r="D26" s="2">
        <v>180</v>
      </c>
    </row>
    <row r="27" spans="1:4" outlineLevel="2" x14ac:dyDescent="0.3">
      <c r="A27" s="2" t="s">
        <v>62</v>
      </c>
      <c r="B27" s="2">
        <v>12</v>
      </c>
      <c r="C27" s="2">
        <v>40</v>
      </c>
      <c r="D27" s="2">
        <v>150</v>
      </c>
    </row>
    <row r="28" spans="1:4" outlineLevel="2" x14ac:dyDescent="0.3">
      <c r="A28" s="2" t="s">
        <v>62</v>
      </c>
      <c r="B28" s="2">
        <v>14</v>
      </c>
      <c r="C28" s="2">
        <v>60</v>
      </c>
      <c r="D28" s="2">
        <v>120</v>
      </c>
    </row>
    <row r="29" spans="1:4" outlineLevel="2" x14ac:dyDescent="0.3">
      <c r="A29" s="2" t="s">
        <v>62</v>
      </c>
      <c r="B29" s="2">
        <v>10</v>
      </c>
      <c r="C29" s="2">
        <v>100</v>
      </c>
      <c r="D29" s="2">
        <v>90</v>
      </c>
    </row>
    <row r="30" spans="1:4" outlineLevel="2" x14ac:dyDescent="0.3">
      <c r="A30" s="2" t="s">
        <v>62</v>
      </c>
      <c r="B30" s="2">
        <v>6</v>
      </c>
      <c r="C30" s="2">
        <v>180</v>
      </c>
      <c r="D30" s="2">
        <v>50</v>
      </c>
    </row>
    <row r="31" spans="1:4" outlineLevel="2" x14ac:dyDescent="0.3">
      <c r="A31" s="2" t="s">
        <v>62</v>
      </c>
      <c r="B31" s="2">
        <v>2</v>
      </c>
      <c r="C31" s="2">
        <v>40</v>
      </c>
      <c r="D31" s="2">
        <v>60</v>
      </c>
    </row>
    <row r="32" spans="1:4" outlineLevel="1" x14ac:dyDescent="0.3">
      <c r="A32" s="4" t="s">
        <v>66</v>
      </c>
      <c r="C32" s="2">
        <f>SUBTOTAL(9,C25:C31)</f>
        <v>600</v>
      </c>
      <c r="D32" s="2">
        <f>SUBTOTAL(9,D25:D31)</f>
        <v>750</v>
      </c>
    </row>
    <row r="33" spans="1:4" outlineLevel="2" x14ac:dyDescent="0.3">
      <c r="A33" s="2" t="s">
        <v>61</v>
      </c>
      <c r="B33" s="2">
        <v>6</v>
      </c>
      <c r="C33" s="2">
        <v>180</v>
      </c>
      <c r="D33" s="2">
        <v>20</v>
      </c>
    </row>
    <row r="34" spans="1:4" outlineLevel="2" x14ac:dyDescent="0.3">
      <c r="A34" s="2" t="s">
        <v>61</v>
      </c>
      <c r="B34" s="2">
        <v>14</v>
      </c>
      <c r="C34" s="2">
        <v>60</v>
      </c>
      <c r="D34" s="2">
        <v>40</v>
      </c>
    </row>
    <row r="35" spans="1:4" outlineLevel="2" x14ac:dyDescent="0.3">
      <c r="A35" s="2" t="s">
        <v>61</v>
      </c>
      <c r="B35" s="2">
        <v>2</v>
      </c>
      <c r="C35" s="2">
        <v>20</v>
      </c>
      <c r="D35" s="2">
        <v>40</v>
      </c>
    </row>
    <row r="36" spans="1:4" outlineLevel="2" x14ac:dyDescent="0.3">
      <c r="A36" s="2" t="s">
        <v>61</v>
      </c>
      <c r="B36" s="2">
        <v>10</v>
      </c>
      <c r="C36" s="2">
        <v>100</v>
      </c>
      <c r="D36" s="2">
        <v>100</v>
      </c>
    </row>
    <row r="37" spans="1:4" outlineLevel="2" x14ac:dyDescent="0.3">
      <c r="A37" s="2" t="s">
        <v>61</v>
      </c>
      <c r="B37" s="2">
        <v>10</v>
      </c>
      <c r="C37" s="2">
        <v>60</v>
      </c>
      <c r="D37" s="2">
        <v>40</v>
      </c>
    </row>
    <row r="38" spans="1:4" outlineLevel="2" x14ac:dyDescent="0.3">
      <c r="A38" s="2" t="s">
        <v>61</v>
      </c>
      <c r="B38" s="2">
        <v>6</v>
      </c>
      <c r="C38" s="2">
        <v>180</v>
      </c>
      <c r="D38" s="2">
        <v>180</v>
      </c>
    </row>
    <row r="39" spans="1:4" outlineLevel="2" x14ac:dyDescent="0.3">
      <c r="A39" s="2" t="s">
        <v>61</v>
      </c>
      <c r="B39" s="2">
        <v>12</v>
      </c>
      <c r="C39" s="2">
        <v>120</v>
      </c>
      <c r="D39" s="2">
        <v>100</v>
      </c>
    </row>
    <row r="40" spans="1:4" outlineLevel="2" x14ac:dyDescent="0.3">
      <c r="A40" s="2" t="s">
        <v>61</v>
      </c>
      <c r="B40" s="2">
        <v>2</v>
      </c>
      <c r="C40" s="2">
        <v>20</v>
      </c>
      <c r="D40" s="2">
        <v>150</v>
      </c>
    </row>
    <row r="41" spans="1:4" outlineLevel="2" x14ac:dyDescent="0.3">
      <c r="A41" s="2" t="s">
        <v>61</v>
      </c>
      <c r="B41" s="2">
        <v>8</v>
      </c>
      <c r="C41" s="2">
        <v>90</v>
      </c>
      <c r="D41" s="2">
        <v>180</v>
      </c>
    </row>
    <row r="42" spans="1:4" outlineLevel="2" x14ac:dyDescent="0.3">
      <c r="A42" s="2" t="s">
        <v>61</v>
      </c>
      <c r="B42" s="2">
        <v>10</v>
      </c>
      <c r="C42" s="2">
        <v>60</v>
      </c>
      <c r="D42" s="2">
        <v>120</v>
      </c>
    </row>
    <row r="43" spans="1:4" outlineLevel="2" x14ac:dyDescent="0.3">
      <c r="A43" s="2" t="s">
        <v>61</v>
      </c>
      <c r="B43" s="2">
        <v>4</v>
      </c>
      <c r="C43" s="2">
        <v>90</v>
      </c>
      <c r="D43" s="2">
        <v>150</v>
      </c>
    </row>
    <row r="44" spans="1:4" outlineLevel="2" x14ac:dyDescent="0.3">
      <c r="A44" s="2" t="s">
        <v>61</v>
      </c>
      <c r="B44" s="2">
        <v>12</v>
      </c>
      <c r="C44" s="2">
        <v>120</v>
      </c>
      <c r="D44" s="2">
        <v>90</v>
      </c>
    </row>
    <row r="45" spans="1:4" outlineLevel="2" x14ac:dyDescent="0.3">
      <c r="A45" s="2" t="s">
        <v>61</v>
      </c>
      <c r="B45" s="2">
        <v>12</v>
      </c>
      <c r="C45" s="2">
        <v>40</v>
      </c>
      <c r="D45" s="2">
        <v>120</v>
      </c>
    </row>
    <row r="46" spans="1:4" outlineLevel="2" x14ac:dyDescent="0.3">
      <c r="A46" s="2" t="s">
        <v>61</v>
      </c>
      <c r="B46" s="2">
        <v>8</v>
      </c>
      <c r="C46" s="2">
        <v>180</v>
      </c>
      <c r="D46" s="2">
        <v>50</v>
      </c>
    </row>
    <row r="47" spans="1:4" outlineLevel="1" x14ac:dyDescent="0.3">
      <c r="A47" s="4" t="s">
        <v>67</v>
      </c>
      <c r="C47" s="2">
        <f>SUBTOTAL(9,C33:C46)</f>
        <v>1320</v>
      </c>
      <c r="D47" s="2">
        <f>SUBTOTAL(9,D33:D46)</f>
        <v>1380</v>
      </c>
    </row>
    <row r="48" spans="1:4" outlineLevel="2" x14ac:dyDescent="0.3">
      <c r="A48" s="2" t="s">
        <v>59</v>
      </c>
      <c r="B48" s="2">
        <v>2</v>
      </c>
      <c r="C48" s="2">
        <v>20</v>
      </c>
      <c r="D48" s="2">
        <v>180</v>
      </c>
    </row>
    <row r="49" spans="1:4" outlineLevel="2" x14ac:dyDescent="0.3">
      <c r="A49" s="2" t="s">
        <v>59</v>
      </c>
      <c r="B49" s="2">
        <v>10</v>
      </c>
      <c r="C49" s="2">
        <v>60</v>
      </c>
      <c r="D49" s="2">
        <v>150</v>
      </c>
    </row>
    <row r="50" spans="1:4" outlineLevel="2" x14ac:dyDescent="0.3">
      <c r="A50" s="2" t="s">
        <v>59</v>
      </c>
      <c r="B50" s="2">
        <v>12</v>
      </c>
      <c r="C50" s="2">
        <v>120</v>
      </c>
      <c r="D50" s="2">
        <v>120</v>
      </c>
    </row>
    <row r="51" spans="1:4" outlineLevel="2" x14ac:dyDescent="0.3">
      <c r="A51" s="2" t="s">
        <v>59</v>
      </c>
      <c r="B51" s="2">
        <v>8</v>
      </c>
      <c r="C51" s="2">
        <v>90</v>
      </c>
      <c r="D51" s="2">
        <v>90</v>
      </c>
    </row>
    <row r="52" spans="1:4" outlineLevel="2" x14ac:dyDescent="0.3">
      <c r="A52" s="2" t="s">
        <v>59</v>
      </c>
      <c r="B52" s="2">
        <v>4</v>
      </c>
      <c r="C52" s="2">
        <v>90</v>
      </c>
      <c r="D52" s="2">
        <v>50</v>
      </c>
    </row>
    <row r="53" spans="1:4" outlineLevel="2" x14ac:dyDescent="0.3">
      <c r="A53" s="2" t="s">
        <v>59</v>
      </c>
      <c r="B53" s="2">
        <v>12</v>
      </c>
      <c r="C53" s="2">
        <v>40</v>
      </c>
      <c r="D53" s="2">
        <v>60</v>
      </c>
    </row>
    <row r="54" spans="1:4" outlineLevel="2" x14ac:dyDescent="0.3">
      <c r="A54" s="2" t="s">
        <v>59</v>
      </c>
      <c r="B54" s="2">
        <v>14</v>
      </c>
      <c r="C54" s="2">
        <v>60</v>
      </c>
      <c r="D54" s="2">
        <v>20</v>
      </c>
    </row>
    <row r="55" spans="1:4" outlineLevel="1" x14ac:dyDescent="0.3">
      <c r="A55" s="4" t="s">
        <v>68</v>
      </c>
      <c r="C55" s="2">
        <f>SUBTOTAL(9,C48:C54)</f>
        <v>480</v>
      </c>
      <c r="D55" s="2">
        <f>SUBTOTAL(9,D48:D54)</f>
        <v>670</v>
      </c>
    </row>
    <row r="56" spans="1:4" x14ac:dyDescent="0.3">
      <c r="A56" s="4" t="s">
        <v>47</v>
      </c>
      <c r="C56" s="2">
        <f>SUBTOTAL(9,C2:C54)</f>
        <v>4130</v>
      </c>
      <c r="D56" s="2">
        <f>SUBTOTAL(9,D2:D54)</f>
        <v>4210</v>
      </c>
    </row>
  </sheetData>
  <sortState xmlns:xlrd2="http://schemas.microsoft.com/office/spreadsheetml/2017/richdata2" ref="A2:D54">
    <sortCondition ref="A2:A5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CEA0-3FE6-4CDC-AADA-5427C9FBDCAF}">
  <dimension ref="A1:D56"/>
  <sheetViews>
    <sheetView tabSelected="1" topLeftCell="A16" workbookViewId="0">
      <selection activeCell="B31" sqref="B31"/>
    </sheetView>
  </sheetViews>
  <sheetFormatPr defaultRowHeight="14.4" outlineLevelRow="2" x14ac:dyDescent="0.3"/>
  <cols>
    <col min="1" max="5" width="47.5546875" customWidth="1"/>
  </cols>
  <sheetData>
    <row r="1" spans="1:4" ht="18" x14ac:dyDescent="0.35">
      <c r="A1" s="5" t="s">
        <v>55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63</v>
      </c>
      <c r="B2" s="2">
        <v>10</v>
      </c>
      <c r="C2" s="2">
        <v>100</v>
      </c>
      <c r="D2" s="2">
        <v>120</v>
      </c>
    </row>
    <row r="3" spans="1:4" outlineLevel="2" x14ac:dyDescent="0.3">
      <c r="A3" s="2" t="s">
        <v>63</v>
      </c>
      <c r="B3" s="2">
        <v>6</v>
      </c>
      <c r="C3" s="2">
        <v>180</v>
      </c>
      <c r="D3" s="2">
        <v>90</v>
      </c>
    </row>
    <row r="4" spans="1:4" outlineLevel="2" x14ac:dyDescent="0.3">
      <c r="A4" s="2" t="s">
        <v>63</v>
      </c>
      <c r="B4" s="2">
        <v>2</v>
      </c>
      <c r="C4" s="2">
        <v>20</v>
      </c>
      <c r="D4" s="2">
        <v>50</v>
      </c>
    </row>
    <row r="5" spans="1:4" outlineLevel="2" x14ac:dyDescent="0.3">
      <c r="A5" s="2" t="s">
        <v>63</v>
      </c>
      <c r="B5" s="2">
        <v>10</v>
      </c>
      <c r="C5" s="2">
        <v>60</v>
      </c>
      <c r="D5" s="2">
        <v>60</v>
      </c>
    </row>
    <row r="6" spans="1:4" outlineLevel="2" x14ac:dyDescent="0.3">
      <c r="A6" s="2" t="s">
        <v>63</v>
      </c>
      <c r="B6" s="2">
        <v>12</v>
      </c>
      <c r="C6" s="2">
        <v>120</v>
      </c>
      <c r="D6" s="2">
        <v>20</v>
      </c>
    </row>
    <row r="7" spans="1:4" outlineLevel="2" x14ac:dyDescent="0.3">
      <c r="A7" s="2" t="s">
        <v>63</v>
      </c>
      <c r="B7" s="2">
        <v>8</v>
      </c>
      <c r="C7" s="2">
        <v>90</v>
      </c>
      <c r="D7" s="2">
        <v>40</v>
      </c>
    </row>
    <row r="8" spans="1:4" outlineLevel="2" x14ac:dyDescent="0.3">
      <c r="A8" s="2" t="s">
        <v>63</v>
      </c>
      <c r="B8" s="2">
        <v>4</v>
      </c>
      <c r="C8" s="2">
        <v>20</v>
      </c>
      <c r="D8" s="2">
        <v>40</v>
      </c>
    </row>
    <row r="9" spans="1:4" outlineLevel="1" x14ac:dyDescent="0.3">
      <c r="A9" s="4" t="s">
        <v>64</v>
      </c>
      <c r="B9" s="2"/>
      <c r="C9" s="2"/>
      <c r="D9" s="2">
        <f>SUBTOTAL(9,D2:D8)</f>
        <v>420</v>
      </c>
    </row>
    <row r="10" spans="1:4" outlineLevel="2" x14ac:dyDescent="0.3">
      <c r="A10" s="2" t="s">
        <v>60</v>
      </c>
      <c r="B10" s="2">
        <v>4</v>
      </c>
      <c r="C10" s="2">
        <v>90</v>
      </c>
      <c r="D10" s="2">
        <v>90</v>
      </c>
    </row>
    <row r="11" spans="1:4" outlineLevel="2" x14ac:dyDescent="0.3">
      <c r="A11" s="2" t="s">
        <v>60</v>
      </c>
      <c r="B11" s="2">
        <v>12</v>
      </c>
      <c r="C11" s="2">
        <v>120</v>
      </c>
      <c r="D11" s="2">
        <v>60</v>
      </c>
    </row>
    <row r="12" spans="1:4" outlineLevel="2" x14ac:dyDescent="0.3">
      <c r="A12" s="2" t="s">
        <v>60</v>
      </c>
      <c r="B12" s="2">
        <v>12</v>
      </c>
      <c r="C12" s="2">
        <v>40</v>
      </c>
      <c r="D12" s="2">
        <v>50</v>
      </c>
    </row>
    <row r="13" spans="1:4" outlineLevel="2" x14ac:dyDescent="0.3">
      <c r="A13" s="2" t="s">
        <v>60</v>
      </c>
      <c r="B13" s="2">
        <v>8</v>
      </c>
      <c r="C13" s="2">
        <v>90</v>
      </c>
      <c r="D13" s="2">
        <v>20</v>
      </c>
    </row>
    <row r="14" spans="1:4" outlineLevel="2" x14ac:dyDescent="0.3">
      <c r="A14" s="2" t="s">
        <v>60</v>
      </c>
      <c r="B14" s="2">
        <v>14</v>
      </c>
      <c r="C14" s="2">
        <v>60</v>
      </c>
      <c r="D14" s="2">
        <v>60</v>
      </c>
    </row>
    <row r="15" spans="1:4" outlineLevel="2" x14ac:dyDescent="0.3">
      <c r="A15" s="2" t="s">
        <v>60</v>
      </c>
      <c r="B15" s="2">
        <v>4</v>
      </c>
      <c r="C15" s="2">
        <v>90</v>
      </c>
      <c r="D15" s="2">
        <v>40</v>
      </c>
    </row>
    <row r="16" spans="1:4" outlineLevel="2" x14ac:dyDescent="0.3">
      <c r="A16" s="2" t="s">
        <v>60</v>
      </c>
      <c r="B16" s="2">
        <v>10</v>
      </c>
      <c r="C16" s="2">
        <v>100</v>
      </c>
      <c r="D16" s="2">
        <v>20</v>
      </c>
    </row>
    <row r="17" spans="1:4" outlineLevel="2" x14ac:dyDescent="0.3">
      <c r="A17" s="2" t="s">
        <v>60</v>
      </c>
      <c r="B17" s="2">
        <v>12</v>
      </c>
      <c r="C17" s="2">
        <v>40</v>
      </c>
      <c r="D17" s="2">
        <v>40</v>
      </c>
    </row>
    <row r="18" spans="1:4" outlineLevel="2" x14ac:dyDescent="0.3">
      <c r="A18" s="2" t="s">
        <v>60</v>
      </c>
      <c r="B18" s="2">
        <v>6</v>
      </c>
      <c r="C18" s="2">
        <v>180</v>
      </c>
      <c r="D18" s="2">
        <v>40</v>
      </c>
    </row>
    <row r="19" spans="1:4" outlineLevel="2" x14ac:dyDescent="0.3">
      <c r="A19" s="2" t="s">
        <v>60</v>
      </c>
      <c r="B19" s="2">
        <v>14</v>
      </c>
      <c r="C19" s="2">
        <v>60</v>
      </c>
      <c r="D19" s="2">
        <v>100</v>
      </c>
    </row>
    <row r="20" spans="1:4" outlineLevel="2" x14ac:dyDescent="0.3">
      <c r="A20" s="2" t="s">
        <v>60</v>
      </c>
      <c r="B20" s="2">
        <v>2</v>
      </c>
      <c r="C20" s="2">
        <v>20</v>
      </c>
      <c r="D20" s="2">
        <v>40</v>
      </c>
    </row>
    <row r="21" spans="1:4" outlineLevel="2" x14ac:dyDescent="0.3">
      <c r="A21" s="2" t="s">
        <v>60</v>
      </c>
      <c r="B21" s="2">
        <v>10</v>
      </c>
      <c r="C21" s="2">
        <v>100</v>
      </c>
      <c r="D21" s="2">
        <v>180</v>
      </c>
    </row>
    <row r="22" spans="1:4" outlineLevel="2" x14ac:dyDescent="0.3">
      <c r="A22" s="2" t="s">
        <v>60</v>
      </c>
      <c r="B22" s="2">
        <v>10</v>
      </c>
      <c r="C22" s="2">
        <v>60</v>
      </c>
      <c r="D22" s="2">
        <v>100</v>
      </c>
    </row>
    <row r="23" spans="1:4" outlineLevel="2" x14ac:dyDescent="0.3">
      <c r="A23" s="2" t="s">
        <v>60</v>
      </c>
      <c r="B23" s="2">
        <v>6</v>
      </c>
      <c r="C23" s="2">
        <v>90</v>
      </c>
      <c r="D23" s="2">
        <v>150</v>
      </c>
    </row>
    <row r="24" spans="1:4" outlineLevel="1" x14ac:dyDescent="0.3">
      <c r="A24" s="4" t="s">
        <v>65</v>
      </c>
      <c r="B24" s="2"/>
      <c r="C24" s="2"/>
      <c r="D24" s="2">
        <f>SUBTOTAL(9,D10:D23)</f>
        <v>990</v>
      </c>
    </row>
    <row r="25" spans="1:4" outlineLevel="2" x14ac:dyDescent="0.3">
      <c r="A25" s="2" t="s">
        <v>62</v>
      </c>
      <c r="B25" s="2">
        <v>8</v>
      </c>
      <c r="C25" s="2">
        <v>90</v>
      </c>
      <c r="D25" s="2">
        <v>100</v>
      </c>
    </row>
    <row r="26" spans="1:4" outlineLevel="2" x14ac:dyDescent="0.3">
      <c r="A26" s="2" t="s">
        <v>62</v>
      </c>
      <c r="B26" s="2">
        <v>4</v>
      </c>
      <c r="C26" s="2">
        <v>90</v>
      </c>
      <c r="D26" s="2">
        <v>180</v>
      </c>
    </row>
    <row r="27" spans="1:4" outlineLevel="2" x14ac:dyDescent="0.3">
      <c r="A27" s="2" t="s">
        <v>62</v>
      </c>
      <c r="B27" s="2">
        <v>12</v>
      </c>
      <c r="C27" s="2">
        <v>40</v>
      </c>
      <c r="D27" s="2">
        <v>150</v>
      </c>
    </row>
    <row r="28" spans="1:4" outlineLevel="2" x14ac:dyDescent="0.3">
      <c r="A28" s="2" t="s">
        <v>62</v>
      </c>
      <c r="B28" s="2">
        <v>14</v>
      </c>
      <c r="C28" s="2">
        <v>60</v>
      </c>
      <c r="D28" s="2">
        <v>120</v>
      </c>
    </row>
    <row r="29" spans="1:4" outlineLevel="2" x14ac:dyDescent="0.3">
      <c r="A29" s="2" t="s">
        <v>62</v>
      </c>
      <c r="B29" s="2">
        <v>10</v>
      </c>
      <c r="C29" s="2">
        <v>100</v>
      </c>
      <c r="D29" s="2">
        <v>90</v>
      </c>
    </row>
    <row r="30" spans="1:4" outlineLevel="2" x14ac:dyDescent="0.3">
      <c r="A30" s="2" t="s">
        <v>62</v>
      </c>
      <c r="B30" s="2">
        <v>6</v>
      </c>
      <c r="C30" s="2">
        <v>180</v>
      </c>
      <c r="D30" s="2">
        <v>50</v>
      </c>
    </row>
    <row r="31" spans="1:4" outlineLevel="2" x14ac:dyDescent="0.3">
      <c r="A31" s="2" t="s">
        <v>62</v>
      </c>
      <c r="B31" s="2">
        <v>2</v>
      </c>
      <c r="C31" s="2">
        <v>40</v>
      </c>
      <c r="D31" s="2">
        <v>60</v>
      </c>
    </row>
    <row r="32" spans="1:4" outlineLevel="1" x14ac:dyDescent="0.3">
      <c r="A32" s="4" t="s">
        <v>66</v>
      </c>
      <c r="B32" s="2"/>
      <c r="C32" s="2"/>
      <c r="D32" s="2">
        <f>SUBTOTAL(9,D25:D31)</f>
        <v>750</v>
      </c>
    </row>
    <row r="33" spans="1:4" outlineLevel="2" x14ac:dyDescent="0.3">
      <c r="A33" s="2" t="s">
        <v>61</v>
      </c>
      <c r="B33" s="2">
        <v>6</v>
      </c>
      <c r="C33" s="2">
        <v>180</v>
      </c>
      <c r="D33" s="2">
        <v>20</v>
      </c>
    </row>
    <row r="34" spans="1:4" outlineLevel="2" x14ac:dyDescent="0.3">
      <c r="A34" s="2" t="s">
        <v>61</v>
      </c>
      <c r="B34" s="2">
        <v>14</v>
      </c>
      <c r="C34" s="2">
        <v>60</v>
      </c>
      <c r="D34" s="2">
        <v>40</v>
      </c>
    </row>
    <row r="35" spans="1:4" outlineLevel="2" x14ac:dyDescent="0.3">
      <c r="A35" s="2" t="s">
        <v>61</v>
      </c>
      <c r="B35" s="2">
        <v>2</v>
      </c>
      <c r="C35" s="2">
        <v>20</v>
      </c>
      <c r="D35" s="2">
        <v>40</v>
      </c>
    </row>
    <row r="36" spans="1:4" outlineLevel="2" x14ac:dyDescent="0.3">
      <c r="A36" s="2" t="s">
        <v>61</v>
      </c>
      <c r="B36" s="2">
        <v>10</v>
      </c>
      <c r="C36" s="2">
        <v>100</v>
      </c>
      <c r="D36" s="2">
        <v>100</v>
      </c>
    </row>
    <row r="37" spans="1:4" outlineLevel="2" x14ac:dyDescent="0.3">
      <c r="A37" s="2" t="s">
        <v>61</v>
      </c>
      <c r="B37" s="2">
        <v>10</v>
      </c>
      <c r="C37" s="2">
        <v>60</v>
      </c>
      <c r="D37" s="2">
        <v>40</v>
      </c>
    </row>
    <row r="38" spans="1:4" outlineLevel="2" x14ac:dyDescent="0.3">
      <c r="A38" s="2" t="s">
        <v>61</v>
      </c>
      <c r="B38" s="2">
        <v>6</v>
      </c>
      <c r="C38" s="2">
        <v>180</v>
      </c>
      <c r="D38" s="2">
        <v>180</v>
      </c>
    </row>
    <row r="39" spans="1:4" outlineLevel="2" x14ac:dyDescent="0.3">
      <c r="A39" s="2" t="s">
        <v>61</v>
      </c>
      <c r="B39" s="2">
        <v>12</v>
      </c>
      <c r="C39" s="2">
        <v>120</v>
      </c>
      <c r="D39" s="2">
        <v>100</v>
      </c>
    </row>
    <row r="40" spans="1:4" outlineLevel="2" x14ac:dyDescent="0.3">
      <c r="A40" s="2" t="s">
        <v>61</v>
      </c>
      <c r="B40" s="2">
        <v>2</v>
      </c>
      <c r="C40" s="2">
        <v>20</v>
      </c>
      <c r="D40" s="2">
        <v>150</v>
      </c>
    </row>
    <row r="41" spans="1:4" outlineLevel="2" x14ac:dyDescent="0.3">
      <c r="A41" s="2" t="s">
        <v>61</v>
      </c>
      <c r="B41" s="2">
        <v>8</v>
      </c>
      <c r="C41" s="2">
        <v>90</v>
      </c>
      <c r="D41" s="2">
        <v>180</v>
      </c>
    </row>
    <row r="42" spans="1:4" outlineLevel="2" x14ac:dyDescent="0.3">
      <c r="A42" s="2" t="s">
        <v>61</v>
      </c>
      <c r="B42" s="2">
        <v>10</v>
      </c>
      <c r="C42" s="2">
        <v>60</v>
      </c>
      <c r="D42" s="2">
        <v>120</v>
      </c>
    </row>
    <row r="43" spans="1:4" outlineLevel="2" x14ac:dyDescent="0.3">
      <c r="A43" s="2" t="s">
        <v>61</v>
      </c>
      <c r="B43" s="2">
        <v>4</v>
      </c>
      <c r="C43" s="2">
        <v>90</v>
      </c>
      <c r="D43" s="2">
        <v>150</v>
      </c>
    </row>
    <row r="44" spans="1:4" outlineLevel="2" x14ac:dyDescent="0.3">
      <c r="A44" s="2" t="s">
        <v>61</v>
      </c>
      <c r="B44" s="2">
        <v>12</v>
      </c>
      <c r="C44" s="2">
        <v>120</v>
      </c>
      <c r="D44" s="2">
        <v>90</v>
      </c>
    </row>
    <row r="45" spans="1:4" outlineLevel="2" x14ac:dyDescent="0.3">
      <c r="A45" s="2" t="s">
        <v>61</v>
      </c>
      <c r="B45" s="2">
        <v>12</v>
      </c>
      <c r="C45" s="2">
        <v>40</v>
      </c>
      <c r="D45" s="2">
        <v>120</v>
      </c>
    </row>
    <row r="46" spans="1:4" outlineLevel="2" x14ac:dyDescent="0.3">
      <c r="A46" s="2" t="s">
        <v>61</v>
      </c>
      <c r="B46" s="2">
        <v>8</v>
      </c>
      <c r="C46" s="2">
        <v>180</v>
      </c>
      <c r="D46" s="2">
        <v>50</v>
      </c>
    </row>
    <row r="47" spans="1:4" outlineLevel="1" x14ac:dyDescent="0.3">
      <c r="A47" s="4" t="s">
        <v>67</v>
      </c>
      <c r="B47" s="2"/>
      <c r="C47" s="2"/>
      <c r="D47" s="2">
        <f>SUBTOTAL(9,D33:D46)</f>
        <v>1380</v>
      </c>
    </row>
    <row r="48" spans="1:4" outlineLevel="2" x14ac:dyDescent="0.3">
      <c r="A48" s="2" t="s">
        <v>59</v>
      </c>
      <c r="B48" s="2">
        <v>2</v>
      </c>
      <c r="C48" s="2">
        <v>20</v>
      </c>
      <c r="D48" s="2">
        <v>180</v>
      </c>
    </row>
    <row r="49" spans="1:4" outlineLevel="2" x14ac:dyDescent="0.3">
      <c r="A49" s="2" t="s">
        <v>59</v>
      </c>
      <c r="B49" s="2">
        <v>10</v>
      </c>
      <c r="C49" s="2">
        <v>60</v>
      </c>
      <c r="D49" s="2">
        <v>150</v>
      </c>
    </row>
    <row r="50" spans="1:4" outlineLevel="2" x14ac:dyDescent="0.3">
      <c r="A50" s="2" t="s">
        <v>59</v>
      </c>
      <c r="B50" s="2">
        <v>12</v>
      </c>
      <c r="C50" s="2">
        <v>120</v>
      </c>
      <c r="D50" s="2">
        <v>120</v>
      </c>
    </row>
    <row r="51" spans="1:4" outlineLevel="2" x14ac:dyDescent="0.3">
      <c r="A51" s="2" t="s">
        <v>59</v>
      </c>
      <c r="B51" s="2">
        <v>8</v>
      </c>
      <c r="C51" s="2">
        <v>90</v>
      </c>
      <c r="D51" s="2">
        <v>90</v>
      </c>
    </row>
    <row r="52" spans="1:4" outlineLevel="2" x14ac:dyDescent="0.3">
      <c r="A52" s="2" t="s">
        <v>59</v>
      </c>
      <c r="B52" s="2">
        <v>4</v>
      </c>
      <c r="C52" s="2">
        <v>90</v>
      </c>
      <c r="D52" s="2">
        <v>50</v>
      </c>
    </row>
    <row r="53" spans="1:4" outlineLevel="2" x14ac:dyDescent="0.3">
      <c r="A53" s="2" t="s">
        <v>59</v>
      </c>
      <c r="B53" s="2">
        <v>12</v>
      </c>
      <c r="C53" s="2">
        <v>40</v>
      </c>
      <c r="D53" s="2">
        <v>60</v>
      </c>
    </row>
    <row r="54" spans="1:4" outlineLevel="2" x14ac:dyDescent="0.3">
      <c r="A54" s="2" t="s">
        <v>59</v>
      </c>
      <c r="B54" s="2">
        <v>14</v>
      </c>
      <c r="C54" s="2">
        <v>60</v>
      </c>
      <c r="D54" s="2">
        <v>20</v>
      </c>
    </row>
    <row r="55" spans="1:4" outlineLevel="1" x14ac:dyDescent="0.3">
      <c r="A55" s="4" t="s">
        <v>68</v>
      </c>
      <c r="B55" s="2"/>
      <c r="C55" s="2"/>
      <c r="D55" s="2">
        <f>SUBTOTAL(9,D48:D54)</f>
        <v>670</v>
      </c>
    </row>
    <row r="56" spans="1:4" x14ac:dyDescent="0.3">
      <c r="A56" s="4" t="s">
        <v>47</v>
      </c>
      <c r="B56" s="2"/>
      <c r="C56" s="2"/>
      <c r="D56" s="2">
        <f>SUBTOTAL(9,D2:D54)</f>
        <v>4210</v>
      </c>
    </row>
  </sheetData>
  <sortState xmlns:xlrd2="http://schemas.microsoft.com/office/spreadsheetml/2017/richdata2" ref="A2:D54">
    <sortCondition ref="A2:A5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1C7B-1574-41FE-A114-D778C57FC50B}">
  <dimension ref="A1:D56"/>
  <sheetViews>
    <sheetView workbookViewId="0">
      <selection activeCell="B2" sqref="B2"/>
    </sheetView>
  </sheetViews>
  <sheetFormatPr defaultRowHeight="14.4" outlineLevelRow="2" x14ac:dyDescent="0.3"/>
  <cols>
    <col min="1" max="5" width="40.88671875" customWidth="1"/>
  </cols>
  <sheetData>
    <row r="1" spans="1:4" ht="18" x14ac:dyDescent="0.35">
      <c r="A1" s="5" t="s">
        <v>55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63</v>
      </c>
      <c r="B2" s="2">
        <v>10</v>
      </c>
      <c r="C2" s="2">
        <v>100</v>
      </c>
      <c r="D2" s="2">
        <v>120</v>
      </c>
    </row>
    <row r="3" spans="1:4" outlineLevel="2" x14ac:dyDescent="0.3">
      <c r="A3" s="2" t="s">
        <v>63</v>
      </c>
      <c r="B3" s="2">
        <v>6</v>
      </c>
      <c r="C3" s="2">
        <v>180</v>
      </c>
      <c r="D3" s="2">
        <v>90</v>
      </c>
    </row>
    <row r="4" spans="1:4" outlineLevel="2" x14ac:dyDescent="0.3">
      <c r="A4" s="2" t="s">
        <v>63</v>
      </c>
      <c r="B4" s="2">
        <v>2</v>
      </c>
      <c r="C4" s="2">
        <v>20</v>
      </c>
      <c r="D4" s="2">
        <v>50</v>
      </c>
    </row>
    <row r="5" spans="1:4" outlineLevel="2" x14ac:dyDescent="0.3">
      <c r="A5" s="2" t="s">
        <v>63</v>
      </c>
      <c r="B5" s="2">
        <v>10</v>
      </c>
      <c r="C5" s="2">
        <v>60</v>
      </c>
      <c r="D5" s="2">
        <v>60</v>
      </c>
    </row>
    <row r="6" spans="1:4" outlineLevel="2" x14ac:dyDescent="0.3">
      <c r="A6" s="2" t="s">
        <v>63</v>
      </c>
      <c r="B6" s="2">
        <v>12</v>
      </c>
      <c r="C6" s="2">
        <v>120</v>
      </c>
      <c r="D6" s="2">
        <v>20</v>
      </c>
    </row>
    <row r="7" spans="1:4" outlineLevel="2" x14ac:dyDescent="0.3">
      <c r="A7" s="2" t="s">
        <v>63</v>
      </c>
      <c r="B7" s="2">
        <v>8</v>
      </c>
      <c r="C7" s="2">
        <v>90</v>
      </c>
      <c r="D7" s="2">
        <v>40</v>
      </c>
    </row>
    <row r="8" spans="1:4" outlineLevel="2" x14ac:dyDescent="0.3">
      <c r="A8" s="2" t="s">
        <v>63</v>
      </c>
      <c r="B8" s="2">
        <v>4</v>
      </c>
      <c r="C8" s="2">
        <v>20</v>
      </c>
      <c r="D8" s="2">
        <v>40</v>
      </c>
    </row>
    <row r="9" spans="1:4" outlineLevel="1" x14ac:dyDescent="0.3">
      <c r="A9" s="4" t="s">
        <v>64</v>
      </c>
      <c r="B9" s="2">
        <f>SUBTOTAL(9,B2:B8)</f>
        <v>52</v>
      </c>
      <c r="C9" s="2"/>
      <c r="D9" s="2">
        <f>SUBTOTAL(9,D2:D8)</f>
        <v>420</v>
      </c>
    </row>
    <row r="10" spans="1:4" outlineLevel="2" x14ac:dyDescent="0.3">
      <c r="A10" s="2" t="s">
        <v>60</v>
      </c>
      <c r="B10" s="2">
        <v>4</v>
      </c>
      <c r="C10" s="2">
        <v>90</v>
      </c>
      <c r="D10" s="2">
        <v>90</v>
      </c>
    </row>
    <row r="11" spans="1:4" outlineLevel="2" x14ac:dyDescent="0.3">
      <c r="A11" s="2" t="s">
        <v>60</v>
      </c>
      <c r="B11" s="2">
        <v>12</v>
      </c>
      <c r="C11" s="2">
        <v>120</v>
      </c>
      <c r="D11" s="2">
        <v>60</v>
      </c>
    </row>
    <row r="12" spans="1:4" outlineLevel="2" x14ac:dyDescent="0.3">
      <c r="A12" s="2" t="s">
        <v>60</v>
      </c>
      <c r="B12" s="2">
        <v>12</v>
      </c>
      <c r="C12" s="2">
        <v>40</v>
      </c>
      <c r="D12" s="2">
        <v>50</v>
      </c>
    </row>
    <row r="13" spans="1:4" outlineLevel="2" x14ac:dyDescent="0.3">
      <c r="A13" s="2" t="s">
        <v>60</v>
      </c>
      <c r="B13" s="2">
        <v>8</v>
      </c>
      <c r="C13" s="2">
        <v>90</v>
      </c>
      <c r="D13" s="2">
        <v>20</v>
      </c>
    </row>
    <row r="14" spans="1:4" outlineLevel="2" x14ac:dyDescent="0.3">
      <c r="A14" s="2" t="s">
        <v>60</v>
      </c>
      <c r="B14" s="2">
        <v>14</v>
      </c>
      <c r="C14" s="2">
        <v>60</v>
      </c>
      <c r="D14" s="2">
        <v>60</v>
      </c>
    </row>
    <row r="15" spans="1:4" outlineLevel="2" x14ac:dyDescent="0.3">
      <c r="A15" s="2" t="s">
        <v>60</v>
      </c>
      <c r="B15" s="2">
        <v>4</v>
      </c>
      <c r="C15" s="2">
        <v>90</v>
      </c>
      <c r="D15" s="2">
        <v>40</v>
      </c>
    </row>
    <row r="16" spans="1:4" outlineLevel="2" x14ac:dyDescent="0.3">
      <c r="A16" s="2" t="s">
        <v>60</v>
      </c>
      <c r="B16" s="2">
        <v>10</v>
      </c>
      <c r="C16" s="2">
        <v>100</v>
      </c>
      <c r="D16" s="2">
        <v>20</v>
      </c>
    </row>
    <row r="17" spans="1:4" outlineLevel="2" x14ac:dyDescent="0.3">
      <c r="A17" s="2" t="s">
        <v>60</v>
      </c>
      <c r="B17" s="2">
        <v>12</v>
      </c>
      <c r="C17" s="2">
        <v>40</v>
      </c>
      <c r="D17" s="2">
        <v>40</v>
      </c>
    </row>
    <row r="18" spans="1:4" outlineLevel="2" x14ac:dyDescent="0.3">
      <c r="A18" s="2" t="s">
        <v>60</v>
      </c>
      <c r="B18" s="2">
        <v>6</v>
      </c>
      <c r="C18" s="2">
        <v>180</v>
      </c>
      <c r="D18" s="2">
        <v>40</v>
      </c>
    </row>
    <row r="19" spans="1:4" outlineLevel="2" x14ac:dyDescent="0.3">
      <c r="A19" s="2" t="s">
        <v>60</v>
      </c>
      <c r="B19" s="2">
        <v>14</v>
      </c>
      <c r="C19" s="2">
        <v>60</v>
      </c>
      <c r="D19" s="2">
        <v>100</v>
      </c>
    </row>
    <row r="20" spans="1:4" outlineLevel="2" x14ac:dyDescent="0.3">
      <c r="A20" s="2" t="s">
        <v>60</v>
      </c>
      <c r="B20" s="2">
        <v>2</v>
      </c>
      <c r="C20" s="2">
        <v>20</v>
      </c>
      <c r="D20" s="2">
        <v>40</v>
      </c>
    </row>
    <row r="21" spans="1:4" outlineLevel="2" x14ac:dyDescent="0.3">
      <c r="A21" s="2" t="s">
        <v>60</v>
      </c>
      <c r="B21" s="2">
        <v>10</v>
      </c>
      <c r="C21" s="2">
        <v>100</v>
      </c>
      <c r="D21" s="2">
        <v>180</v>
      </c>
    </row>
    <row r="22" spans="1:4" outlineLevel="2" x14ac:dyDescent="0.3">
      <c r="A22" s="2" t="s">
        <v>60</v>
      </c>
      <c r="B22" s="2">
        <v>10</v>
      </c>
      <c r="C22" s="2">
        <v>60</v>
      </c>
      <c r="D22" s="2">
        <v>100</v>
      </c>
    </row>
    <row r="23" spans="1:4" outlineLevel="2" x14ac:dyDescent="0.3">
      <c r="A23" s="2" t="s">
        <v>60</v>
      </c>
      <c r="B23" s="2">
        <v>6</v>
      </c>
      <c r="C23" s="2">
        <v>90</v>
      </c>
      <c r="D23" s="2">
        <v>150</v>
      </c>
    </row>
    <row r="24" spans="1:4" outlineLevel="1" x14ac:dyDescent="0.3">
      <c r="A24" s="4" t="s">
        <v>65</v>
      </c>
      <c r="B24" s="2">
        <f>SUBTOTAL(9,B10:B23)</f>
        <v>124</v>
      </c>
      <c r="C24" s="2"/>
      <c r="D24" s="2">
        <f>SUBTOTAL(9,D10:D23)</f>
        <v>990</v>
      </c>
    </row>
    <row r="25" spans="1:4" outlineLevel="2" x14ac:dyDescent="0.3">
      <c r="A25" s="2" t="s">
        <v>62</v>
      </c>
      <c r="B25" s="2">
        <v>8</v>
      </c>
      <c r="C25" s="2">
        <v>90</v>
      </c>
      <c r="D25" s="2">
        <v>100</v>
      </c>
    </row>
    <row r="26" spans="1:4" outlineLevel="2" x14ac:dyDescent="0.3">
      <c r="A26" s="2" t="s">
        <v>62</v>
      </c>
      <c r="B26" s="2">
        <v>4</v>
      </c>
      <c r="C26" s="2">
        <v>90</v>
      </c>
      <c r="D26" s="2">
        <v>180</v>
      </c>
    </row>
    <row r="27" spans="1:4" outlineLevel="2" x14ac:dyDescent="0.3">
      <c r="A27" s="2" t="s">
        <v>62</v>
      </c>
      <c r="B27" s="2">
        <v>12</v>
      </c>
      <c r="C27" s="2">
        <v>40</v>
      </c>
      <c r="D27" s="2">
        <v>150</v>
      </c>
    </row>
    <row r="28" spans="1:4" outlineLevel="2" x14ac:dyDescent="0.3">
      <c r="A28" s="2" t="s">
        <v>62</v>
      </c>
      <c r="B28" s="2">
        <v>14</v>
      </c>
      <c r="C28" s="2">
        <v>60</v>
      </c>
      <c r="D28" s="2">
        <v>120</v>
      </c>
    </row>
    <row r="29" spans="1:4" outlineLevel="2" x14ac:dyDescent="0.3">
      <c r="A29" s="2" t="s">
        <v>62</v>
      </c>
      <c r="B29" s="2">
        <v>10</v>
      </c>
      <c r="C29" s="2">
        <v>100</v>
      </c>
      <c r="D29" s="2">
        <v>90</v>
      </c>
    </row>
    <row r="30" spans="1:4" outlineLevel="2" x14ac:dyDescent="0.3">
      <c r="A30" s="2" t="s">
        <v>62</v>
      </c>
      <c r="B30" s="2">
        <v>6</v>
      </c>
      <c r="C30" s="2">
        <v>180</v>
      </c>
      <c r="D30" s="2">
        <v>50</v>
      </c>
    </row>
    <row r="31" spans="1:4" outlineLevel="2" x14ac:dyDescent="0.3">
      <c r="A31" s="2" t="s">
        <v>62</v>
      </c>
      <c r="B31" s="2">
        <v>2</v>
      </c>
      <c r="C31" s="2">
        <v>40</v>
      </c>
      <c r="D31" s="2">
        <v>60</v>
      </c>
    </row>
    <row r="32" spans="1:4" outlineLevel="1" x14ac:dyDescent="0.3">
      <c r="A32" s="4" t="s">
        <v>66</v>
      </c>
      <c r="B32" s="2">
        <f>SUBTOTAL(9,B25:B31)</f>
        <v>56</v>
      </c>
      <c r="C32" s="2"/>
      <c r="D32" s="2">
        <f>SUBTOTAL(9,D25:D31)</f>
        <v>750</v>
      </c>
    </row>
    <row r="33" spans="1:4" outlineLevel="2" x14ac:dyDescent="0.3">
      <c r="A33" s="2" t="s">
        <v>61</v>
      </c>
      <c r="B33" s="2">
        <v>6</v>
      </c>
      <c r="C33" s="2">
        <v>180</v>
      </c>
      <c r="D33" s="2">
        <v>20</v>
      </c>
    </row>
    <row r="34" spans="1:4" outlineLevel="2" x14ac:dyDescent="0.3">
      <c r="A34" s="2" t="s">
        <v>61</v>
      </c>
      <c r="B34" s="2">
        <v>14</v>
      </c>
      <c r="C34" s="2">
        <v>60</v>
      </c>
      <c r="D34" s="2">
        <v>40</v>
      </c>
    </row>
    <row r="35" spans="1:4" outlineLevel="2" x14ac:dyDescent="0.3">
      <c r="A35" s="2" t="s">
        <v>61</v>
      </c>
      <c r="B35" s="2">
        <v>2</v>
      </c>
      <c r="C35" s="2">
        <v>20</v>
      </c>
      <c r="D35" s="2">
        <v>40</v>
      </c>
    </row>
    <row r="36" spans="1:4" outlineLevel="2" x14ac:dyDescent="0.3">
      <c r="A36" s="2" t="s">
        <v>61</v>
      </c>
      <c r="B36" s="2">
        <v>10</v>
      </c>
      <c r="C36" s="2">
        <v>100</v>
      </c>
      <c r="D36" s="2">
        <v>100</v>
      </c>
    </row>
    <row r="37" spans="1:4" outlineLevel="2" x14ac:dyDescent="0.3">
      <c r="A37" s="2" t="s">
        <v>61</v>
      </c>
      <c r="B37" s="2">
        <v>10</v>
      </c>
      <c r="C37" s="2">
        <v>60</v>
      </c>
      <c r="D37" s="2">
        <v>40</v>
      </c>
    </row>
    <row r="38" spans="1:4" outlineLevel="2" x14ac:dyDescent="0.3">
      <c r="A38" s="2" t="s">
        <v>61</v>
      </c>
      <c r="B38" s="2">
        <v>6</v>
      </c>
      <c r="C38" s="2">
        <v>180</v>
      </c>
      <c r="D38" s="2">
        <v>180</v>
      </c>
    </row>
    <row r="39" spans="1:4" outlineLevel="2" x14ac:dyDescent="0.3">
      <c r="A39" s="2" t="s">
        <v>61</v>
      </c>
      <c r="B39" s="2">
        <v>12</v>
      </c>
      <c r="C39" s="2">
        <v>120</v>
      </c>
      <c r="D39" s="2">
        <v>100</v>
      </c>
    </row>
    <row r="40" spans="1:4" outlineLevel="2" x14ac:dyDescent="0.3">
      <c r="A40" s="2" t="s">
        <v>61</v>
      </c>
      <c r="B40" s="2">
        <v>2</v>
      </c>
      <c r="C40" s="2">
        <v>20</v>
      </c>
      <c r="D40" s="2">
        <v>150</v>
      </c>
    </row>
    <row r="41" spans="1:4" outlineLevel="2" x14ac:dyDescent="0.3">
      <c r="A41" s="2" t="s">
        <v>61</v>
      </c>
      <c r="B41" s="2">
        <v>8</v>
      </c>
      <c r="C41" s="2">
        <v>90</v>
      </c>
      <c r="D41" s="2">
        <v>180</v>
      </c>
    </row>
    <row r="42" spans="1:4" outlineLevel="2" x14ac:dyDescent="0.3">
      <c r="A42" s="2" t="s">
        <v>61</v>
      </c>
      <c r="B42" s="2">
        <v>10</v>
      </c>
      <c r="C42" s="2">
        <v>60</v>
      </c>
      <c r="D42" s="2">
        <v>120</v>
      </c>
    </row>
    <row r="43" spans="1:4" outlineLevel="2" x14ac:dyDescent="0.3">
      <c r="A43" s="2" t="s">
        <v>61</v>
      </c>
      <c r="B43" s="2">
        <v>4</v>
      </c>
      <c r="C43" s="2">
        <v>90</v>
      </c>
      <c r="D43" s="2">
        <v>150</v>
      </c>
    </row>
    <row r="44" spans="1:4" outlineLevel="2" x14ac:dyDescent="0.3">
      <c r="A44" s="2" t="s">
        <v>61</v>
      </c>
      <c r="B44" s="2">
        <v>12</v>
      </c>
      <c r="C44" s="2">
        <v>120</v>
      </c>
      <c r="D44" s="2">
        <v>90</v>
      </c>
    </row>
    <row r="45" spans="1:4" outlineLevel="2" x14ac:dyDescent="0.3">
      <c r="A45" s="2" t="s">
        <v>61</v>
      </c>
      <c r="B45" s="2">
        <v>12</v>
      </c>
      <c r="C45" s="2">
        <v>40</v>
      </c>
      <c r="D45" s="2">
        <v>120</v>
      </c>
    </row>
    <row r="46" spans="1:4" outlineLevel="2" x14ac:dyDescent="0.3">
      <c r="A46" s="2" t="s">
        <v>61</v>
      </c>
      <c r="B46" s="2">
        <v>8</v>
      </c>
      <c r="C46" s="2">
        <v>180</v>
      </c>
      <c r="D46" s="2">
        <v>50</v>
      </c>
    </row>
    <row r="47" spans="1:4" outlineLevel="1" x14ac:dyDescent="0.3">
      <c r="A47" s="4" t="s">
        <v>67</v>
      </c>
      <c r="B47" s="2">
        <f>SUBTOTAL(9,B33:B46)</f>
        <v>116</v>
      </c>
      <c r="C47" s="2"/>
      <c r="D47" s="2">
        <f>SUBTOTAL(9,D33:D46)</f>
        <v>1380</v>
      </c>
    </row>
    <row r="48" spans="1:4" outlineLevel="2" x14ac:dyDescent="0.3">
      <c r="A48" s="2" t="s">
        <v>59</v>
      </c>
      <c r="B48" s="2">
        <v>2</v>
      </c>
      <c r="C48" s="2">
        <v>20</v>
      </c>
      <c r="D48" s="2">
        <v>180</v>
      </c>
    </row>
    <row r="49" spans="1:4" outlineLevel="2" x14ac:dyDescent="0.3">
      <c r="A49" s="2" t="s">
        <v>59</v>
      </c>
      <c r="B49" s="2">
        <v>10</v>
      </c>
      <c r="C49" s="2">
        <v>60</v>
      </c>
      <c r="D49" s="2">
        <v>150</v>
      </c>
    </row>
    <row r="50" spans="1:4" outlineLevel="2" x14ac:dyDescent="0.3">
      <c r="A50" s="2" t="s">
        <v>59</v>
      </c>
      <c r="B50" s="2">
        <v>12</v>
      </c>
      <c r="C50" s="2">
        <v>120</v>
      </c>
      <c r="D50" s="2">
        <v>120</v>
      </c>
    </row>
    <row r="51" spans="1:4" outlineLevel="2" x14ac:dyDescent="0.3">
      <c r="A51" s="2" t="s">
        <v>59</v>
      </c>
      <c r="B51" s="2">
        <v>8</v>
      </c>
      <c r="C51" s="2">
        <v>90</v>
      </c>
      <c r="D51" s="2">
        <v>90</v>
      </c>
    </row>
    <row r="52" spans="1:4" outlineLevel="2" x14ac:dyDescent="0.3">
      <c r="A52" s="2" t="s">
        <v>59</v>
      </c>
      <c r="B52" s="2">
        <v>4</v>
      </c>
      <c r="C52" s="2">
        <v>90</v>
      </c>
      <c r="D52" s="2">
        <v>50</v>
      </c>
    </row>
    <row r="53" spans="1:4" outlineLevel="2" x14ac:dyDescent="0.3">
      <c r="A53" s="2" t="s">
        <v>59</v>
      </c>
      <c r="B53" s="2">
        <v>12</v>
      </c>
      <c r="C53" s="2">
        <v>40</v>
      </c>
      <c r="D53" s="2">
        <v>60</v>
      </c>
    </row>
    <row r="54" spans="1:4" outlineLevel="2" x14ac:dyDescent="0.3">
      <c r="A54" s="2" t="s">
        <v>59</v>
      </c>
      <c r="B54" s="2">
        <v>14</v>
      </c>
      <c r="C54" s="2">
        <v>60</v>
      </c>
      <c r="D54" s="2">
        <v>20</v>
      </c>
    </row>
    <row r="55" spans="1:4" outlineLevel="1" x14ac:dyDescent="0.3">
      <c r="A55" s="4" t="s">
        <v>68</v>
      </c>
      <c r="B55" s="2">
        <f>SUBTOTAL(9,B48:B54)</f>
        <v>62</v>
      </c>
      <c r="C55" s="2"/>
      <c r="D55" s="2">
        <f>SUBTOTAL(9,D48:D54)</f>
        <v>670</v>
      </c>
    </row>
    <row r="56" spans="1:4" x14ac:dyDescent="0.3">
      <c r="A56" s="4" t="s">
        <v>47</v>
      </c>
      <c r="B56" s="2">
        <f>SUBTOTAL(9,B2:B54)</f>
        <v>410</v>
      </c>
      <c r="C56" s="2"/>
      <c r="D56" s="2">
        <f>SUBTOTAL(9,D2:D54)</f>
        <v>4210</v>
      </c>
    </row>
  </sheetData>
  <sortState xmlns:xlrd2="http://schemas.microsoft.com/office/spreadsheetml/2017/richdata2" ref="A2:D54">
    <sortCondition ref="A2:A5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5EA-7647-4A7A-AAC6-CE839A4A827D}">
  <dimension ref="A1:H15"/>
  <sheetViews>
    <sheetView workbookViewId="0">
      <selection activeCell="F21" sqref="F21"/>
    </sheetView>
  </sheetViews>
  <sheetFormatPr defaultRowHeight="14.4" outlineLevelRow="2" x14ac:dyDescent="0.3"/>
  <cols>
    <col min="1" max="8" width="22" customWidth="1"/>
  </cols>
  <sheetData>
    <row r="1" spans="1:8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69</v>
      </c>
      <c r="G1" s="5" t="s">
        <v>6</v>
      </c>
      <c r="H1" s="5" t="s">
        <v>7</v>
      </c>
    </row>
    <row r="2" spans="1:8" outlineLevel="2" x14ac:dyDescent="0.3">
      <c r="A2" s="2">
        <v>5</v>
      </c>
      <c r="B2" s="2" t="s">
        <v>26</v>
      </c>
      <c r="C2" s="2" t="s">
        <v>19</v>
      </c>
      <c r="D2" s="2" t="s">
        <v>27</v>
      </c>
      <c r="E2" s="2" t="s">
        <v>28</v>
      </c>
      <c r="F2" s="2">
        <v>75.209999999999994</v>
      </c>
      <c r="G2" s="3">
        <v>37381</v>
      </c>
      <c r="H2" s="2" t="s">
        <v>21</v>
      </c>
    </row>
    <row r="3" spans="1:8" outlineLevel="2" x14ac:dyDescent="0.3">
      <c r="A3" s="2">
        <v>10</v>
      </c>
      <c r="B3" s="2" t="s">
        <v>41</v>
      </c>
      <c r="C3" s="2" t="s">
        <v>42</v>
      </c>
      <c r="D3" s="2" t="s">
        <v>43</v>
      </c>
      <c r="E3" s="2" t="s">
        <v>28</v>
      </c>
      <c r="F3" s="2">
        <v>78</v>
      </c>
      <c r="G3" s="3">
        <v>37315</v>
      </c>
      <c r="H3" s="2" t="s">
        <v>70</v>
      </c>
    </row>
    <row r="4" spans="1:8" outlineLevel="1" x14ac:dyDescent="0.3">
      <c r="A4" s="2"/>
      <c r="B4" s="2"/>
      <c r="C4" s="2"/>
      <c r="D4" s="2"/>
      <c r="E4" s="4" t="s">
        <v>44</v>
      </c>
      <c r="F4" s="2">
        <f>SUBTOTAL(9,F2:F3)</f>
        <v>153.20999999999998</v>
      </c>
      <c r="G4" s="3"/>
      <c r="H4" s="2"/>
    </row>
    <row r="5" spans="1:8" outlineLevel="2" x14ac:dyDescent="0.3">
      <c r="A5" s="2">
        <v>2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99.99</v>
      </c>
      <c r="G5" s="3">
        <v>37407</v>
      </c>
      <c r="H5" s="2" t="s">
        <v>12</v>
      </c>
    </row>
    <row r="6" spans="1:8" outlineLevel="2" x14ac:dyDescent="0.3">
      <c r="A6" s="2">
        <v>4</v>
      </c>
      <c r="B6" s="2" t="s">
        <v>22</v>
      </c>
      <c r="C6" s="2" t="s">
        <v>23</v>
      </c>
      <c r="D6" s="2" t="s">
        <v>24</v>
      </c>
      <c r="E6" s="2" t="s">
        <v>16</v>
      </c>
      <c r="F6" s="2">
        <v>65</v>
      </c>
      <c r="G6" s="3">
        <v>37391</v>
      </c>
      <c r="H6" s="2" t="s">
        <v>17</v>
      </c>
    </row>
    <row r="7" spans="1:8" outlineLevel="2" x14ac:dyDescent="0.3">
      <c r="A7" s="2">
        <v>6</v>
      </c>
      <c r="B7" s="2" t="s">
        <v>29</v>
      </c>
      <c r="C7" s="2" t="s">
        <v>30</v>
      </c>
      <c r="D7" s="2" t="s">
        <v>31</v>
      </c>
      <c r="E7" s="2" t="s">
        <v>16</v>
      </c>
      <c r="F7" s="2">
        <v>68</v>
      </c>
      <c r="G7" s="3">
        <v>37398</v>
      </c>
      <c r="H7" s="2" t="s">
        <v>34</v>
      </c>
    </row>
    <row r="8" spans="1:8" outlineLevel="2" x14ac:dyDescent="0.3">
      <c r="A8" s="2">
        <v>8</v>
      </c>
      <c r="B8" s="2" t="s">
        <v>35</v>
      </c>
      <c r="C8" s="2" t="s">
        <v>23</v>
      </c>
      <c r="D8" s="2" t="s">
        <v>36</v>
      </c>
      <c r="E8" s="2" t="s">
        <v>16</v>
      </c>
      <c r="F8" s="2">
        <v>82.65</v>
      </c>
      <c r="G8" s="3">
        <v>37313</v>
      </c>
      <c r="H8" s="2" t="s">
        <v>17</v>
      </c>
    </row>
    <row r="9" spans="1:8" outlineLevel="2" x14ac:dyDescent="0.3">
      <c r="A9" s="2">
        <v>9</v>
      </c>
      <c r="B9" s="2" t="s">
        <v>37</v>
      </c>
      <c r="C9" s="2" t="s">
        <v>38</v>
      </c>
      <c r="D9" s="2" t="s">
        <v>39</v>
      </c>
      <c r="E9" s="2" t="s">
        <v>16</v>
      </c>
      <c r="F9" s="2">
        <v>89.55</v>
      </c>
      <c r="G9" s="3">
        <v>37376</v>
      </c>
      <c r="H9" s="2" t="s">
        <v>34</v>
      </c>
    </row>
    <row r="10" spans="1:8" outlineLevel="1" x14ac:dyDescent="0.3">
      <c r="A10" s="2"/>
      <c r="B10" s="2"/>
      <c r="C10" s="2"/>
      <c r="D10" s="2"/>
      <c r="E10" s="4" t="s">
        <v>45</v>
      </c>
      <c r="F10" s="2">
        <f>SUBTOTAL(9,F5:F9)</f>
        <v>405.19</v>
      </c>
      <c r="G10" s="3"/>
      <c r="H10" s="2"/>
    </row>
    <row r="11" spans="1:8" outlineLevel="2" x14ac:dyDescent="0.3">
      <c r="A11" s="2">
        <v>1</v>
      </c>
      <c r="B11" s="2" t="s">
        <v>8</v>
      </c>
      <c r="C11" s="2" t="s">
        <v>9</v>
      </c>
      <c r="D11" s="2" t="s">
        <v>10</v>
      </c>
      <c r="E11" s="2" t="s">
        <v>11</v>
      </c>
      <c r="F11" s="2">
        <v>50</v>
      </c>
      <c r="G11" s="3">
        <v>37267</v>
      </c>
      <c r="H11" s="2" t="s">
        <v>25</v>
      </c>
    </row>
    <row r="12" spans="1:8" outlineLevel="2" x14ac:dyDescent="0.3">
      <c r="A12" s="2">
        <v>3</v>
      </c>
      <c r="B12" s="2" t="s">
        <v>18</v>
      </c>
      <c r="C12" s="2" t="s">
        <v>19</v>
      </c>
      <c r="D12" s="2" t="s">
        <v>20</v>
      </c>
      <c r="E12" s="2" t="s">
        <v>11</v>
      </c>
      <c r="F12" s="2">
        <v>90.35</v>
      </c>
      <c r="G12" s="3">
        <v>37476</v>
      </c>
      <c r="H12" s="2" t="s">
        <v>70</v>
      </c>
    </row>
    <row r="13" spans="1:8" outlineLevel="2" x14ac:dyDescent="0.3">
      <c r="A13" s="2">
        <v>7</v>
      </c>
      <c r="B13" s="2" t="s">
        <v>32</v>
      </c>
      <c r="C13" s="2" t="s">
        <v>33</v>
      </c>
      <c r="D13" s="2" t="s">
        <v>24</v>
      </c>
      <c r="E13" s="2" t="s">
        <v>11</v>
      </c>
      <c r="F13" s="2">
        <v>72.11</v>
      </c>
      <c r="G13" s="3">
        <v>37336</v>
      </c>
      <c r="H13" s="2" t="s">
        <v>40</v>
      </c>
    </row>
    <row r="14" spans="1:8" outlineLevel="1" x14ac:dyDescent="0.3">
      <c r="A14" s="2"/>
      <c r="B14" s="2"/>
      <c r="C14" s="2"/>
      <c r="D14" s="2"/>
      <c r="E14" s="4" t="s">
        <v>46</v>
      </c>
      <c r="F14" s="2">
        <f>SUBTOTAL(9,F11:F13)</f>
        <v>212.45999999999998</v>
      </c>
      <c r="G14" s="3"/>
      <c r="H14" s="2"/>
    </row>
    <row r="15" spans="1:8" x14ac:dyDescent="0.3">
      <c r="A15" s="2"/>
      <c r="B15" s="2"/>
      <c r="C15" s="2"/>
      <c r="D15" s="2"/>
      <c r="E15" s="4" t="s">
        <v>47</v>
      </c>
      <c r="F15" s="2">
        <f>SUBTOTAL(9,F2:F13)</f>
        <v>770.86</v>
      </c>
      <c r="G15" s="3"/>
      <c r="H15" s="2"/>
    </row>
  </sheetData>
  <sortState xmlns:xlrd2="http://schemas.microsoft.com/office/spreadsheetml/2017/richdata2" ref="A2:H13">
    <sortCondition ref="E2:E13"/>
  </sortState>
  <dataValidations count="8">
    <dataValidation type="list" allowBlank="1" showInputMessage="1" showErrorMessage="1" errorTitle="Select Your City&gt;&gt;" error="Please Select Your City From The Given List.Don't Enter Your City Outside A List And Don't Enter The Numbers." promptTitle="Select Your City&gt;&gt;" prompt="Please Select Your City From The Given List." sqref="H1:H3 H5:H9 H11:H13" xr:uid="{BD5D0F18-940F-4837-9B68-F6B711D16814}">
      <formula1>cities</formula1>
    </dataValidation>
    <dataValidation type="decimal" allowBlank="1" showInputMessage="1" showErrorMessage="1" sqref="F2:F3 F5:F9 F11:F13" xr:uid="{6B39BB80-C7EA-4D50-90F5-D80FE461D76D}">
      <formula1>1</formula1>
      <formula2>100</formula2>
    </dataValidation>
    <dataValidation type="textLength" allowBlank="1" showInputMessage="1" showErrorMessage="1" sqref="C2:C3 C5:C9 C11:C13" xr:uid="{4051CBDC-3EF9-48FF-8C3B-7EBF2DA153B0}">
      <formula1>1</formula1>
      <formula2>1</formula2>
    </dataValidation>
    <dataValidation type="date" operator="lessThan" allowBlank="1" showInputMessage="1" showErrorMessage="1" errorTitle="Date Of Admission&gt;&gt;" error="Please Enter The Date Of Admission Below 1/1/2003.Don't Enter The Characters And Single Numbers." promptTitle="Date Of Admission&gt;&gt;" prompt="Please Enter The Date Of Admission In The Format Of DD/MM/YY.Date Should Be Below 1/1/2003." sqref="G1:G3 G5:G9 G11:G13" xr:uid="{FC6B2A5F-85B4-4837-8F0B-0019177353F5}">
      <formula1>37622</formula1>
    </dataValidation>
    <dataValidation type="decimal" allowBlank="1" showInputMessage="1" showErrorMessage="1" errorTitle="Marks&gt;&gt;" error="Please Enter The Marks In The Range Between 1 to 100.Decimal Values Is Allowed.Don't Enter The Charcters And Don't Enter Below 1 OR Above 100." promptTitle="Marks&gt;&gt;" prompt="Please Enter The Marks In The Range Between 1 to 100.Decimal Values Is Allowed." sqref="F1" xr:uid="{1258CB32-18A3-463A-A8E5-96A3269EE26B}">
      <formula1>1</formula1>
      <formula2>100</formula2>
    </dataValidation>
    <dataValidation type="list" allowBlank="1" showInputMessage="1" showErrorMessage="1" errorTitle="Select Your Stream&gt;&gt;" error="Please Select Your Stream By The Given List.Don't Enter External Text Or The Numbers." promptTitle="Select Your Stream&gt;&gt;" prompt="Please Select Your Stream By The Given List." sqref="E1:E3 E5:E9 E11:E13" xr:uid="{49EE02E4-C06A-4F52-8108-D2A87D8C4249}">
      <formula1>"Science,Commerce,Arts"</formula1>
    </dataValidation>
    <dataValidation type="textLength" operator="equal" allowBlank="1" showInputMessage="1" showErrorMessage="1" errorTitle="Middle Name&gt;&gt;" error="Please Enter The Characters In The Length Of 1 Only." promptTitle="Middle Name&gt;&gt;" prompt="Please Enter The Middle Name Character Range Is 1." sqref="C1" xr:uid="{B5055233-C0E6-40DD-9C53-8A008F583410}">
      <formula1>1</formula1>
    </dataValidation>
    <dataValidation type="whole" allowBlank="1" showInputMessage="1" showErrorMessage="1" errorTitle="Wrong Roll No&gt;&gt;" error="Please Enter The Roll No In The Whole Numbers In The Range Between 1 to 100." promptTitle="Roll No&gt;&gt;" prompt="Please Enter The Roll No Between 1 To 100." sqref="A1:A3 A5:A9 A11:A13" xr:uid="{00EE2C99-06CC-483E-BB2D-2EC2A1E7674C}">
      <formula1>1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4C6D-FD3E-4782-90FB-3F7DE16C78A8}">
  <dimension ref="A1:H22"/>
  <sheetViews>
    <sheetView workbookViewId="0">
      <selection activeCell="G26" sqref="G26"/>
    </sheetView>
  </sheetViews>
  <sheetFormatPr defaultRowHeight="14.4" outlineLevelRow="2" x14ac:dyDescent="0.3"/>
  <cols>
    <col min="1" max="8" width="23.5546875" customWidth="1"/>
  </cols>
  <sheetData>
    <row r="1" spans="1:8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69</v>
      </c>
      <c r="G1" s="5" t="s">
        <v>6</v>
      </c>
      <c r="H1" s="5" t="s">
        <v>7</v>
      </c>
    </row>
    <row r="2" spans="1:8" outlineLevel="2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</v>
      </c>
      <c r="G2" s="3">
        <v>37267</v>
      </c>
      <c r="H2" s="2" t="s">
        <v>25</v>
      </c>
    </row>
    <row r="3" spans="1:8" outlineLevel="1" x14ac:dyDescent="0.3">
      <c r="A3" s="2"/>
      <c r="B3" s="2"/>
      <c r="C3" s="2"/>
      <c r="D3" s="2"/>
      <c r="E3" s="2"/>
      <c r="F3" s="2">
        <f>SUBTOTAL(9,F2:F2)</f>
        <v>50</v>
      </c>
      <c r="G3" s="3"/>
      <c r="H3" s="4" t="s">
        <v>71</v>
      </c>
    </row>
    <row r="4" spans="1:8" outlineLevel="2" x14ac:dyDescent="0.3">
      <c r="A4" s="2">
        <v>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99.99</v>
      </c>
      <c r="G4" s="3">
        <v>37407</v>
      </c>
      <c r="H4" s="2" t="s">
        <v>12</v>
      </c>
    </row>
    <row r="5" spans="1:8" outlineLevel="1" x14ac:dyDescent="0.3">
      <c r="A5" s="2"/>
      <c r="B5" s="2"/>
      <c r="C5" s="2"/>
      <c r="D5" s="2"/>
      <c r="E5" s="2"/>
      <c r="F5" s="2">
        <f>SUBTOTAL(9,F4:F4)</f>
        <v>99.99</v>
      </c>
      <c r="G5" s="3"/>
      <c r="H5" s="4" t="s">
        <v>72</v>
      </c>
    </row>
    <row r="6" spans="1:8" outlineLevel="2" x14ac:dyDescent="0.3">
      <c r="A6" s="2">
        <v>3</v>
      </c>
      <c r="B6" s="2" t="s">
        <v>18</v>
      </c>
      <c r="C6" s="2" t="s">
        <v>19</v>
      </c>
      <c r="D6" s="2" t="s">
        <v>20</v>
      </c>
      <c r="E6" s="2" t="s">
        <v>11</v>
      </c>
      <c r="F6" s="2">
        <v>90.35</v>
      </c>
      <c r="G6" s="3">
        <v>37476</v>
      </c>
      <c r="H6" s="2" t="s">
        <v>70</v>
      </c>
    </row>
    <row r="7" spans="1:8" outlineLevel="1" x14ac:dyDescent="0.3">
      <c r="A7" s="2"/>
      <c r="B7" s="2"/>
      <c r="C7" s="2"/>
      <c r="D7" s="2"/>
      <c r="E7" s="2"/>
      <c r="F7" s="2">
        <f>SUBTOTAL(9,F6:F6)</f>
        <v>90.35</v>
      </c>
      <c r="G7" s="3"/>
      <c r="H7" s="4" t="s">
        <v>73</v>
      </c>
    </row>
    <row r="8" spans="1:8" outlineLevel="2" x14ac:dyDescent="0.3">
      <c r="A8" s="2">
        <v>4</v>
      </c>
      <c r="B8" s="2" t="s">
        <v>22</v>
      </c>
      <c r="C8" s="2" t="s">
        <v>23</v>
      </c>
      <c r="D8" s="2" t="s">
        <v>24</v>
      </c>
      <c r="E8" s="2" t="s">
        <v>16</v>
      </c>
      <c r="F8" s="2">
        <v>65</v>
      </c>
      <c r="G8" s="3">
        <v>37391</v>
      </c>
      <c r="H8" s="2" t="s">
        <v>17</v>
      </c>
    </row>
    <row r="9" spans="1:8" outlineLevel="1" x14ac:dyDescent="0.3">
      <c r="A9" s="2"/>
      <c r="B9" s="2"/>
      <c r="C9" s="2"/>
      <c r="D9" s="2"/>
      <c r="E9" s="2"/>
      <c r="F9" s="2">
        <f>SUBTOTAL(9,F8:F8)</f>
        <v>65</v>
      </c>
      <c r="G9" s="3"/>
      <c r="H9" s="4" t="s">
        <v>74</v>
      </c>
    </row>
    <row r="10" spans="1:8" outlineLevel="2" x14ac:dyDescent="0.3">
      <c r="A10" s="2">
        <v>5</v>
      </c>
      <c r="B10" s="2" t="s">
        <v>26</v>
      </c>
      <c r="C10" s="2" t="s">
        <v>19</v>
      </c>
      <c r="D10" s="2" t="s">
        <v>27</v>
      </c>
      <c r="E10" s="2" t="s">
        <v>28</v>
      </c>
      <c r="F10" s="2">
        <v>75.209999999999994</v>
      </c>
      <c r="G10" s="3">
        <v>37381</v>
      </c>
      <c r="H10" s="2" t="s">
        <v>21</v>
      </c>
    </row>
    <row r="11" spans="1:8" outlineLevel="1" x14ac:dyDescent="0.3">
      <c r="A11" s="2"/>
      <c r="B11" s="2"/>
      <c r="C11" s="2"/>
      <c r="D11" s="2"/>
      <c r="E11" s="2"/>
      <c r="F11" s="2">
        <f>SUBTOTAL(9,F10:F10)</f>
        <v>75.209999999999994</v>
      </c>
      <c r="G11" s="3"/>
      <c r="H11" s="4" t="s">
        <v>75</v>
      </c>
    </row>
    <row r="12" spans="1:8" outlineLevel="2" x14ac:dyDescent="0.3">
      <c r="A12" s="2">
        <v>6</v>
      </c>
      <c r="B12" s="2" t="s">
        <v>29</v>
      </c>
      <c r="C12" s="2" t="s">
        <v>30</v>
      </c>
      <c r="D12" s="2" t="s">
        <v>31</v>
      </c>
      <c r="E12" s="2" t="s">
        <v>16</v>
      </c>
      <c r="F12" s="2">
        <v>68</v>
      </c>
      <c r="G12" s="3">
        <v>37398</v>
      </c>
      <c r="H12" s="2" t="s">
        <v>34</v>
      </c>
    </row>
    <row r="13" spans="1:8" outlineLevel="1" x14ac:dyDescent="0.3">
      <c r="A13" s="2"/>
      <c r="B13" s="2"/>
      <c r="C13" s="2"/>
      <c r="D13" s="2"/>
      <c r="E13" s="2"/>
      <c r="F13" s="2">
        <f>SUBTOTAL(9,F12:F12)</f>
        <v>68</v>
      </c>
      <c r="G13" s="3"/>
      <c r="H13" s="4" t="s">
        <v>76</v>
      </c>
    </row>
    <row r="14" spans="1:8" outlineLevel="2" x14ac:dyDescent="0.3">
      <c r="A14" s="2">
        <v>7</v>
      </c>
      <c r="B14" s="2" t="s">
        <v>32</v>
      </c>
      <c r="C14" s="2" t="s">
        <v>33</v>
      </c>
      <c r="D14" s="2" t="s">
        <v>24</v>
      </c>
      <c r="E14" s="2" t="s">
        <v>11</v>
      </c>
      <c r="F14" s="2">
        <v>72.11</v>
      </c>
      <c r="G14" s="3">
        <v>37336</v>
      </c>
      <c r="H14" s="2" t="s">
        <v>40</v>
      </c>
    </row>
    <row r="15" spans="1:8" outlineLevel="1" x14ac:dyDescent="0.3">
      <c r="A15" s="2"/>
      <c r="B15" s="2"/>
      <c r="C15" s="2"/>
      <c r="D15" s="2"/>
      <c r="E15" s="2"/>
      <c r="F15" s="2">
        <f>SUBTOTAL(9,F14:F14)</f>
        <v>72.11</v>
      </c>
      <c r="G15" s="3"/>
      <c r="H15" s="4" t="s">
        <v>77</v>
      </c>
    </row>
    <row r="16" spans="1:8" outlineLevel="2" x14ac:dyDescent="0.3">
      <c r="A16" s="2">
        <v>8</v>
      </c>
      <c r="B16" s="2" t="s">
        <v>35</v>
      </c>
      <c r="C16" s="2" t="s">
        <v>23</v>
      </c>
      <c r="D16" s="2" t="s">
        <v>36</v>
      </c>
      <c r="E16" s="2" t="s">
        <v>16</v>
      </c>
      <c r="F16" s="2">
        <v>82.65</v>
      </c>
      <c r="G16" s="3">
        <v>37313</v>
      </c>
      <c r="H16" s="2" t="s">
        <v>17</v>
      </c>
    </row>
    <row r="17" spans="1:8" outlineLevel="1" x14ac:dyDescent="0.3">
      <c r="A17" s="2"/>
      <c r="B17" s="2"/>
      <c r="C17" s="2"/>
      <c r="D17" s="2"/>
      <c r="E17" s="2"/>
      <c r="F17" s="2">
        <f>SUBTOTAL(9,F16:F16)</f>
        <v>82.65</v>
      </c>
      <c r="G17" s="3"/>
      <c r="H17" s="4" t="s">
        <v>74</v>
      </c>
    </row>
    <row r="18" spans="1:8" outlineLevel="2" x14ac:dyDescent="0.3">
      <c r="A18" s="2">
        <v>9</v>
      </c>
      <c r="B18" s="2" t="s">
        <v>37</v>
      </c>
      <c r="C18" s="2" t="s">
        <v>38</v>
      </c>
      <c r="D18" s="2" t="s">
        <v>39</v>
      </c>
      <c r="E18" s="2" t="s">
        <v>16</v>
      </c>
      <c r="F18" s="2">
        <v>89.55</v>
      </c>
      <c r="G18" s="3">
        <v>37376</v>
      </c>
      <c r="H18" s="2" t="s">
        <v>34</v>
      </c>
    </row>
    <row r="19" spans="1:8" outlineLevel="1" x14ac:dyDescent="0.3">
      <c r="A19" s="2"/>
      <c r="B19" s="2"/>
      <c r="C19" s="2"/>
      <c r="D19" s="2"/>
      <c r="E19" s="2"/>
      <c r="F19" s="2">
        <f>SUBTOTAL(9,F18:F18)</f>
        <v>89.55</v>
      </c>
      <c r="G19" s="3"/>
      <c r="H19" s="4" t="s">
        <v>76</v>
      </c>
    </row>
    <row r="20" spans="1:8" outlineLevel="2" x14ac:dyDescent="0.3">
      <c r="A20" s="2">
        <v>10</v>
      </c>
      <c r="B20" s="2" t="s">
        <v>41</v>
      </c>
      <c r="C20" s="2" t="s">
        <v>42</v>
      </c>
      <c r="D20" s="2" t="s">
        <v>43</v>
      </c>
      <c r="E20" s="2" t="s">
        <v>28</v>
      </c>
      <c r="F20" s="2">
        <v>78</v>
      </c>
      <c r="G20" s="3">
        <v>37315</v>
      </c>
      <c r="H20" s="2" t="s">
        <v>70</v>
      </c>
    </row>
    <row r="21" spans="1:8" outlineLevel="1" x14ac:dyDescent="0.3">
      <c r="A21" s="2"/>
      <c r="B21" s="2"/>
      <c r="C21" s="2"/>
      <c r="D21" s="2"/>
      <c r="E21" s="2"/>
      <c r="F21" s="2">
        <f>SUBTOTAL(9,F20:F20)</f>
        <v>78</v>
      </c>
      <c r="G21" s="3"/>
      <c r="H21" s="4" t="s">
        <v>73</v>
      </c>
    </row>
    <row r="22" spans="1:8" x14ac:dyDescent="0.3">
      <c r="A22" s="2"/>
      <c r="B22" s="2"/>
      <c r="C22" s="2"/>
      <c r="D22" s="2"/>
      <c r="E22" s="2"/>
      <c r="F22" s="2">
        <f>SUBTOTAL(9,F2:F20)</f>
        <v>770.8599999999999</v>
      </c>
      <c r="G22" s="3"/>
      <c r="H22" s="4" t="s">
        <v>47</v>
      </c>
    </row>
  </sheetData>
  <dataValidations count="8">
    <dataValidation type="whole" allowBlank="1" showInputMessage="1" showErrorMessage="1" errorTitle="Wrong Roll No&gt;&gt;" error="Please Enter The Roll No In The Whole Numbers In The Range Between 1 to 100." promptTitle="Roll No&gt;&gt;" prompt="Please Enter The Roll No Between 1 To 100." sqref="A1:A2 A4 A6 A8 A10 A12 A14 A16 A18 A20" xr:uid="{0F8C7019-1A73-48CA-A831-4E44607337DF}">
      <formula1>1</formula1>
      <formula2>100</formula2>
    </dataValidation>
    <dataValidation type="textLength" operator="equal" allowBlank="1" showInputMessage="1" showErrorMessage="1" errorTitle="Middle Name&gt;&gt;" error="Please Enter The Characters In The Length Of 1 Only." promptTitle="Middle Name&gt;&gt;" prompt="Please Enter The Middle Name Character Range Is 1." sqref="C1" xr:uid="{78A409CB-60AA-44B7-816B-514447D3DB64}">
      <formula1>1</formula1>
    </dataValidation>
    <dataValidation type="list" allowBlank="1" showInputMessage="1" showErrorMessage="1" errorTitle="Select Your Stream&gt;&gt;" error="Please Select Your Stream By The Given List.Don't Enter External Text Or The Numbers." promptTitle="Select Your Stream&gt;&gt;" prompt="Please Select Your Stream By The Given List." sqref="E1:E2 E4 E6 E8 E10 E12 E14 E16 E18 E20" xr:uid="{6D205A67-F1E7-4F45-95C9-5BB70B527D47}">
      <formula1>"Science,Commerce,Arts"</formula1>
    </dataValidation>
    <dataValidation type="decimal" allowBlank="1" showInputMessage="1" showErrorMessage="1" errorTitle="Marks&gt;&gt;" error="Please Enter The Marks In The Range Between 1 to 100.Decimal Values Is Allowed.Don't Enter The Charcters And Don't Enter Below 1 OR Above 100." promptTitle="Marks&gt;&gt;" prompt="Please Enter The Marks In The Range Between 1 to 100.Decimal Values Is Allowed." sqref="F1" xr:uid="{EA902262-93ED-4B26-874E-5D7BA2642080}">
      <formula1>1</formula1>
      <formula2>100</formula2>
    </dataValidation>
    <dataValidation type="date" operator="lessThan" allowBlank="1" showInputMessage="1" showErrorMessage="1" errorTitle="Date Of Admission&gt;&gt;" error="Please Enter The Date Of Admission Below 1/1/2003.Don't Enter The Characters And Single Numbers." promptTitle="Date Of Admission&gt;&gt;" prompt="Please Enter The Date Of Admission In The Format Of DD/MM/YY.Date Should Be Below 1/1/2003." sqref="G1:G2 G4 G6 G8 G10 G12 G14 G16 G18 G20" xr:uid="{8992FDB7-0F22-4324-B1DE-DA3201C32238}">
      <formula1>37622</formula1>
    </dataValidation>
    <dataValidation type="textLength" allowBlank="1" showInputMessage="1" showErrorMessage="1" sqref="C2 C4 C6 C8 C10 C12 C14 C16 C18 C20" xr:uid="{A144BC0B-4331-4FFB-B0A9-B8591E1F98E8}">
      <formula1>1</formula1>
      <formula2>1</formula2>
    </dataValidation>
    <dataValidation type="decimal" allowBlank="1" showInputMessage="1" showErrorMessage="1" sqref="F2 F4 F6 F8 F10 F12 F14 F16 F18 F20" xr:uid="{9E8519EA-E4E8-4DF9-8103-ACBE9E4C0429}">
      <formula1>1</formula1>
      <formula2>100</formula2>
    </dataValidation>
    <dataValidation type="list" allowBlank="1" showInputMessage="1" showErrorMessage="1" errorTitle="Select Your City&gt;&gt;" error="Please Select Your City From The Given List.Don't Enter Your City Outside A List And Don't Enter The Numbers." promptTitle="Select Your City&gt;&gt;" prompt="Please Select Your City From The Given List." sqref="H1:H2 H4 H6 H8 H10 H12 H14 H16 H18 H20" xr:uid="{9750E5EE-CBE0-4508-969D-A6F7FDE6A20A}">
      <formula1>cities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E956-6296-4F2E-AC02-8C3C3789AEFF}">
  <dimension ref="A1:H21"/>
  <sheetViews>
    <sheetView workbookViewId="0">
      <selection activeCell="E31" sqref="E31"/>
    </sheetView>
  </sheetViews>
  <sheetFormatPr defaultRowHeight="14.4" outlineLevelRow="2" x14ac:dyDescent="0.3"/>
  <cols>
    <col min="1" max="8" width="24.44140625" customWidth="1"/>
  </cols>
  <sheetData>
    <row r="1" spans="1:8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69</v>
      </c>
      <c r="G1" s="5" t="s">
        <v>6</v>
      </c>
      <c r="H1" s="5" t="s">
        <v>7</v>
      </c>
    </row>
    <row r="2" spans="1:8" outlineLevel="2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</v>
      </c>
      <c r="G2" s="3">
        <v>37267</v>
      </c>
      <c r="H2" s="2" t="s">
        <v>25</v>
      </c>
    </row>
    <row r="3" spans="1:8" outlineLevel="1" x14ac:dyDescent="0.3">
      <c r="A3" s="2"/>
      <c r="B3" s="2"/>
      <c r="C3" s="2"/>
      <c r="D3" s="2"/>
      <c r="E3" s="4" t="s">
        <v>46</v>
      </c>
      <c r="F3" s="2">
        <f>SUBTOTAL(9,F2:F2)</f>
        <v>50</v>
      </c>
      <c r="G3" s="3"/>
      <c r="H3" s="2"/>
    </row>
    <row r="4" spans="1:8" outlineLevel="2" x14ac:dyDescent="0.3">
      <c r="A4" s="2">
        <v>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99.99</v>
      </c>
      <c r="G4" s="3">
        <v>37407</v>
      </c>
      <c r="H4" s="2" t="s">
        <v>12</v>
      </c>
    </row>
    <row r="5" spans="1:8" outlineLevel="1" x14ac:dyDescent="0.3">
      <c r="A5" s="2"/>
      <c r="B5" s="2"/>
      <c r="C5" s="2"/>
      <c r="D5" s="2"/>
      <c r="E5" s="4" t="s">
        <v>45</v>
      </c>
      <c r="F5" s="2">
        <f>SUBTOTAL(9,F4:F4)</f>
        <v>99.99</v>
      </c>
      <c r="G5" s="3"/>
      <c r="H5" s="2"/>
    </row>
    <row r="6" spans="1:8" outlineLevel="2" x14ac:dyDescent="0.3">
      <c r="A6" s="2">
        <v>3</v>
      </c>
      <c r="B6" s="2" t="s">
        <v>18</v>
      </c>
      <c r="C6" s="2" t="s">
        <v>19</v>
      </c>
      <c r="D6" s="2" t="s">
        <v>20</v>
      </c>
      <c r="E6" s="2" t="s">
        <v>11</v>
      </c>
      <c r="F6" s="2">
        <v>90.35</v>
      </c>
      <c r="G6" s="3">
        <v>37476</v>
      </c>
      <c r="H6" s="2" t="s">
        <v>70</v>
      </c>
    </row>
    <row r="7" spans="1:8" outlineLevel="1" x14ac:dyDescent="0.3">
      <c r="A7" s="2"/>
      <c r="B7" s="2"/>
      <c r="C7" s="2"/>
      <c r="D7" s="2"/>
      <c r="E7" s="4" t="s">
        <v>46</v>
      </c>
      <c r="F7" s="2">
        <f>SUBTOTAL(9,F6:F6)</f>
        <v>90.35</v>
      </c>
      <c r="G7" s="3"/>
      <c r="H7" s="2"/>
    </row>
    <row r="8" spans="1:8" outlineLevel="2" x14ac:dyDescent="0.3">
      <c r="A8" s="2">
        <v>4</v>
      </c>
      <c r="B8" s="2" t="s">
        <v>22</v>
      </c>
      <c r="C8" s="2" t="s">
        <v>23</v>
      </c>
      <c r="D8" s="2" t="s">
        <v>24</v>
      </c>
      <c r="E8" s="2" t="s">
        <v>16</v>
      </c>
      <c r="F8" s="2">
        <v>65</v>
      </c>
      <c r="G8" s="3">
        <v>37391</v>
      </c>
      <c r="H8" s="2" t="s">
        <v>17</v>
      </c>
    </row>
    <row r="9" spans="1:8" outlineLevel="1" x14ac:dyDescent="0.3">
      <c r="A9" s="2"/>
      <c r="B9" s="2"/>
      <c r="C9" s="2"/>
      <c r="D9" s="2"/>
      <c r="E9" s="4" t="s">
        <v>45</v>
      </c>
      <c r="F9" s="2">
        <f>SUBTOTAL(9,F8:F8)</f>
        <v>65</v>
      </c>
      <c r="G9" s="3"/>
      <c r="H9" s="2"/>
    </row>
    <row r="10" spans="1:8" outlineLevel="2" x14ac:dyDescent="0.3">
      <c r="A10" s="2">
        <v>5</v>
      </c>
      <c r="B10" s="2" t="s">
        <v>26</v>
      </c>
      <c r="C10" s="2" t="s">
        <v>19</v>
      </c>
      <c r="D10" s="2" t="s">
        <v>27</v>
      </c>
      <c r="E10" s="2" t="s">
        <v>28</v>
      </c>
      <c r="F10" s="2">
        <v>75.209999999999994</v>
      </c>
      <c r="G10" s="3">
        <v>37381</v>
      </c>
      <c r="H10" s="2" t="s">
        <v>21</v>
      </c>
    </row>
    <row r="11" spans="1:8" outlineLevel="1" x14ac:dyDescent="0.3">
      <c r="A11" s="2"/>
      <c r="B11" s="2"/>
      <c r="C11" s="2"/>
      <c r="D11" s="2"/>
      <c r="E11" s="4" t="s">
        <v>44</v>
      </c>
      <c r="F11" s="2">
        <f>SUBTOTAL(9,F10:F10)</f>
        <v>75.209999999999994</v>
      </c>
      <c r="G11" s="3"/>
      <c r="H11" s="2"/>
    </row>
    <row r="12" spans="1:8" outlineLevel="2" x14ac:dyDescent="0.3">
      <c r="A12" s="2">
        <v>6</v>
      </c>
      <c r="B12" s="2" t="s">
        <v>29</v>
      </c>
      <c r="C12" s="2" t="s">
        <v>30</v>
      </c>
      <c r="D12" s="2" t="s">
        <v>31</v>
      </c>
      <c r="E12" s="2" t="s">
        <v>16</v>
      </c>
      <c r="F12" s="2">
        <v>68</v>
      </c>
      <c r="G12" s="3">
        <v>37398</v>
      </c>
      <c r="H12" s="2" t="s">
        <v>34</v>
      </c>
    </row>
    <row r="13" spans="1:8" outlineLevel="1" x14ac:dyDescent="0.3">
      <c r="A13" s="2"/>
      <c r="B13" s="2"/>
      <c r="C13" s="2"/>
      <c r="D13" s="2"/>
      <c r="E13" s="4" t="s">
        <v>45</v>
      </c>
      <c r="F13" s="2">
        <f>SUBTOTAL(9,F12:F12)</f>
        <v>68</v>
      </c>
      <c r="G13" s="3"/>
      <c r="H13" s="2"/>
    </row>
    <row r="14" spans="1:8" outlineLevel="2" x14ac:dyDescent="0.3">
      <c r="A14" s="2">
        <v>7</v>
      </c>
      <c r="B14" s="2" t="s">
        <v>32</v>
      </c>
      <c r="C14" s="2" t="s">
        <v>33</v>
      </c>
      <c r="D14" s="2" t="s">
        <v>24</v>
      </c>
      <c r="E14" s="2" t="s">
        <v>11</v>
      </c>
      <c r="F14" s="2">
        <v>72.11</v>
      </c>
      <c r="G14" s="3">
        <v>37336</v>
      </c>
      <c r="H14" s="2" t="s">
        <v>40</v>
      </c>
    </row>
    <row r="15" spans="1:8" outlineLevel="1" x14ac:dyDescent="0.3">
      <c r="A15" s="2"/>
      <c r="B15" s="2"/>
      <c r="C15" s="2"/>
      <c r="D15" s="2"/>
      <c r="E15" s="4" t="s">
        <v>46</v>
      </c>
      <c r="F15" s="2">
        <f>SUBTOTAL(9,F14:F14)</f>
        <v>72.11</v>
      </c>
      <c r="G15" s="3"/>
      <c r="H15" s="2"/>
    </row>
    <row r="16" spans="1:8" outlineLevel="2" x14ac:dyDescent="0.3">
      <c r="A16" s="2">
        <v>8</v>
      </c>
      <c r="B16" s="2" t="s">
        <v>35</v>
      </c>
      <c r="C16" s="2" t="s">
        <v>23</v>
      </c>
      <c r="D16" s="2" t="s">
        <v>36</v>
      </c>
      <c r="E16" s="2" t="s">
        <v>16</v>
      </c>
      <c r="F16" s="2">
        <v>82.65</v>
      </c>
      <c r="G16" s="3">
        <v>37313</v>
      </c>
      <c r="H16" s="2" t="s">
        <v>17</v>
      </c>
    </row>
    <row r="17" spans="1:8" outlineLevel="2" x14ac:dyDescent="0.3">
      <c r="A17" s="2">
        <v>9</v>
      </c>
      <c r="B17" s="2" t="s">
        <v>37</v>
      </c>
      <c r="C17" s="2" t="s">
        <v>38</v>
      </c>
      <c r="D17" s="2" t="s">
        <v>39</v>
      </c>
      <c r="E17" s="2" t="s">
        <v>16</v>
      </c>
      <c r="F17" s="2">
        <v>89.55</v>
      </c>
      <c r="G17" s="3">
        <v>37376</v>
      </c>
      <c r="H17" s="2" t="s">
        <v>34</v>
      </c>
    </row>
    <row r="18" spans="1:8" outlineLevel="1" x14ac:dyDescent="0.3">
      <c r="A18" s="2"/>
      <c r="B18" s="2"/>
      <c r="C18" s="2"/>
      <c r="D18" s="2"/>
      <c r="E18" s="4" t="s">
        <v>45</v>
      </c>
      <c r="F18" s="2">
        <f>SUBTOTAL(9,F16:F17)</f>
        <v>172.2</v>
      </c>
      <c r="G18" s="3"/>
      <c r="H18" s="2"/>
    </row>
    <row r="19" spans="1:8" outlineLevel="2" x14ac:dyDescent="0.3">
      <c r="A19" s="2">
        <v>10</v>
      </c>
      <c r="B19" s="2" t="s">
        <v>41</v>
      </c>
      <c r="C19" s="2" t="s">
        <v>42</v>
      </c>
      <c r="D19" s="2" t="s">
        <v>43</v>
      </c>
      <c r="E19" s="2" t="s">
        <v>28</v>
      </c>
      <c r="F19" s="2">
        <v>78</v>
      </c>
      <c r="G19" s="3">
        <v>37315</v>
      </c>
      <c r="H19" s="2" t="s">
        <v>70</v>
      </c>
    </row>
    <row r="20" spans="1:8" outlineLevel="1" x14ac:dyDescent="0.3">
      <c r="A20" s="2"/>
      <c r="B20" s="2"/>
      <c r="C20" s="2"/>
      <c r="D20" s="2"/>
      <c r="E20" s="4" t="s">
        <v>44</v>
      </c>
      <c r="F20" s="2">
        <f>SUBTOTAL(9,F19:F19)</f>
        <v>78</v>
      </c>
      <c r="G20" s="3"/>
      <c r="H20" s="2"/>
    </row>
    <row r="21" spans="1:8" x14ac:dyDescent="0.3">
      <c r="A21" s="2"/>
      <c r="B21" s="2"/>
      <c r="C21" s="2"/>
      <c r="D21" s="2"/>
      <c r="E21" s="4" t="s">
        <v>47</v>
      </c>
      <c r="F21" s="2">
        <f>SUBTOTAL(9,F2:F19)</f>
        <v>770.8599999999999</v>
      </c>
      <c r="G21" s="3"/>
      <c r="H21" s="2"/>
    </row>
  </sheetData>
  <dataValidations count="8">
    <dataValidation type="whole" allowBlank="1" showInputMessage="1" showErrorMessage="1" errorTitle="Wrong Roll No&gt;&gt;" error="Please Enter The Roll No In The Whole Numbers In The Range Between 1 to 100." promptTitle="Roll No&gt;&gt;" prompt="Please Enter The Roll No Between 1 To 100." sqref="A1:A2 A4 A6 A8 A10 A12 A14 A16:A17 A19" xr:uid="{B48640F3-0256-4CC2-A6AE-468BF2FFF25B}">
      <formula1>1</formula1>
      <formula2>100</formula2>
    </dataValidation>
    <dataValidation type="textLength" operator="equal" allowBlank="1" showInputMessage="1" showErrorMessage="1" errorTitle="Middle Name&gt;&gt;" error="Please Enter The Characters In The Length Of 1 Only." promptTitle="Middle Name&gt;&gt;" prompt="Please Enter The Middle Name Character Range Is 1." sqref="C1" xr:uid="{C84AFA26-BBBE-4CD6-9030-9D3DD106E788}">
      <formula1>1</formula1>
    </dataValidation>
    <dataValidation type="list" allowBlank="1" showInputMessage="1" showErrorMessage="1" errorTitle="Select Your Stream&gt;&gt;" error="Please Select Your Stream By The Given List.Don't Enter External Text Or The Numbers." promptTitle="Select Your Stream&gt;&gt;" prompt="Please Select Your Stream By The Given List." sqref="E1:E2 E4 E6 E8 E10 E12 E14 E16:E17 E19" xr:uid="{B2753BC1-46F6-4764-AC00-BC0986BD0A94}">
      <formula1>"Science,Commerce,Arts"</formula1>
    </dataValidation>
    <dataValidation type="decimal" allowBlank="1" showInputMessage="1" showErrorMessage="1" errorTitle="Marks&gt;&gt;" error="Please Enter The Marks In The Range Between 1 to 100.Decimal Values Is Allowed.Don't Enter The Charcters And Don't Enter Below 1 OR Above 100." promptTitle="Marks&gt;&gt;" prompt="Please Enter The Marks In The Range Between 1 to 100.Decimal Values Is Allowed." sqref="F1" xr:uid="{650A91C0-4C82-41EC-A0CA-3B103118BF34}">
      <formula1>1</formula1>
      <formula2>100</formula2>
    </dataValidation>
    <dataValidation type="date" operator="lessThan" allowBlank="1" showInputMessage="1" showErrorMessage="1" errorTitle="Date Of Admission&gt;&gt;" error="Please Enter The Date Of Admission Below 1/1/2003.Don't Enter The Characters And Single Numbers." promptTitle="Date Of Admission&gt;&gt;" prompt="Please Enter The Date Of Admission In The Format Of DD/MM/YY.Date Should Be Below 1/1/2003." sqref="G1:G2 G4 G6 G8 G10 G12 G14 G16:G17 G19" xr:uid="{5560EE7E-C34A-4650-ADF4-F893E4F27E78}">
      <formula1>37622</formula1>
    </dataValidation>
    <dataValidation type="textLength" allowBlank="1" showInputMessage="1" showErrorMessage="1" sqref="C2 C4 C6 C8 C10 C12 C14 C16:C17 C19" xr:uid="{F0A83D61-07E8-4CE4-80BE-8C22B4C8B43F}">
      <formula1>1</formula1>
      <formula2>1</formula2>
    </dataValidation>
    <dataValidation type="decimal" allowBlank="1" showInputMessage="1" showErrorMessage="1" sqref="F2 F4 F6 F8 F10 F12 F14 F16:F17 F19" xr:uid="{460DEFE3-CCF1-4420-AEFD-B701D54173E6}">
      <formula1>1</formula1>
      <formula2>100</formula2>
    </dataValidation>
    <dataValidation type="list" allowBlank="1" showInputMessage="1" showErrorMessage="1" errorTitle="Select Your City&gt;&gt;" error="Please Select Your City From The Given List.Don't Enter Your City Outside A List And Don't Enter The Numbers." promptTitle="Select Your City&gt;&gt;" prompt="Please Select Your City From The Given List." sqref="H1:H2 H4 H6 H8 H10 H12 H14 H16:H17 H19" xr:uid="{7CFBA2B1-398B-4A74-B793-D321B4659622}">
      <formula1>cities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B987-2A7D-432A-966A-27B38F15C418}">
  <dimension ref="A1:D58"/>
  <sheetViews>
    <sheetView topLeftCell="A14" zoomScaleNormal="100" workbookViewId="0">
      <selection activeCell="F7" sqref="F7"/>
    </sheetView>
  </sheetViews>
  <sheetFormatPr defaultColWidth="9.109375" defaultRowHeight="14.4" outlineLevelRow="2" x14ac:dyDescent="0.3"/>
  <cols>
    <col min="1" max="4" width="40.33203125" style="2" customWidth="1"/>
    <col min="5" max="7" width="27.44140625" style="2" customWidth="1"/>
    <col min="8" max="16384" width="9.109375" style="2"/>
  </cols>
  <sheetData>
    <row r="1" spans="1:4" ht="18" x14ac:dyDescent="0.35">
      <c r="A1" s="5" t="s">
        <v>78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83</v>
      </c>
      <c r="B2" s="2">
        <v>10</v>
      </c>
      <c r="C2" s="2">
        <v>100</v>
      </c>
      <c r="D2" s="2">
        <v>100</v>
      </c>
    </row>
    <row r="3" spans="1:4" outlineLevel="2" x14ac:dyDescent="0.3">
      <c r="A3" s="2" t="s">
        <v>83</v>
      </c>
      <c r="B3" s="2">
        <v>8</v>
      </c>
      <c r="C3" s="2">
        <v>20</v>
      </c>
      <c r="D3" s="2">
        <v>90</v>
      </c>
    </row>
    <row r="4" spans="1:4" outlineLevel="2" x14ac:dyDescent="0.3">
      <c r="A4" s="2" t="s">
        <v>83</v>
      </c>
      <c r="B4" s="2">
        <v>6</v>
      </c>
      <c r="C4" s="2">
        <v>60</v>
      </c>
      <c r="D4" s="2">
        <v>40</v>
      </c>
    </row>
    <row r="5" spans="1:4" outlineLevel="2" x14ac:dyDescent="0.3">
      <c r="A5" s="2" t="s">
        <v>83</v>
      </c>
      <c r="B5" s="2">
        <v>4</v>
      </c>
      <c r="C5" s="2">
        <v>180</v>
      </c>
      <c r="D5" s="2">
        <v>100</v>
      </c>
    </row>
    <row r="6" spans="1:4" outlineLevel="2" x14ac:dyDescent="0.3">
      <c r="A6" s="2" t="s">
        <v>83</v>
      </c>
      <c r="B6" s="2">
        <v>2</v>
      </c>
      <c r="C6" s="2">
        <v>50</v>
      </c>
      <c r="D6" s="2">
        <v>90</v>
      </c>
    </row>
    <row r="7" spans="1:4" outlineLevel="2" x14ac:dyDescent="0.3">
      <c r="A7" s="2" t="s">
        <v>83</v>
      </c>
      <c r="B7" s="2">
        <v>14</v>
      </c>
      <c r="C7" s="2">
        <v>100</v>
      </c>
      <c r="D7" s="2">
        <v>40</v>
      </c>
    </row>
    <row r="8" spans="1:4" outlineLevel="2" x14ac:dyDescent="0.3">
      <c r="A8" s="2" t="s">
        <v>83</v>
      </c>
      <c r="B8" s="2">
        <v>12</v>
      </c>
      <c r="C8" s="2">
        <v>20</v>
      </c>
      <c r="D8" s="2">
        <v>100</v>
      </c>
    </row>
    <row r="9" spans="1:4" outlineLevel="2" x14ac:dyDescent="0.3">
      <c r="A9" s="2" t="s">
        <v>83</v>
      </c>
      <c r="B9" s="2">
        <v>10</v>
      </c>
      <c r="C9" s="2">
        <v>60</v>
      </c>
      <c r="D9" s="2">
        <v>90</v>
      </c>
    </row>
    <row r="10" spans="1:4" outlineLevel="1" x14ac:dyDescent="0.3">
      <c r="A10" s="4" t="s">
        <v>86</v>
      </c>
      <c r="C10" s="2">
        <f>SUBTOTAL(9,C2:C9)</f>
        <v>590</v>
      </c>
      <c r="D10" s="2">
        <f>SUBTOTAL(9,D2:D9)</f>
        <v>650</v>
      </c>
    </row>
    <row r="11" spans="1:4" outlineLevel="2" x14ac:dyDescent="0.3">
      <c r="A11" s="2" t="s">
        <v>84</v>
      </c>
      <c r="B11" s="2">
        <v>12</v>
      </c>
      <c r="C11" s="2">
        <v>120</v>
      </c>
      <c r="D11" s="2">
        <v>120</v>
      </c>
    </row>
    <row r="12" spans="1:4" outlineLevel="2" x14ac:dyDescent="0.3">
      <c r="A12" s="2" t="s">
        <v>84</v>
      </c>
      <c r="B12" s="2">
        <v>10</v>
      </c>
      <c r="C12" s="2">
        <v>90</v>
      </c>
      <c r="D12" s="2">
        <v>180</v>
      </c>
    </row>
    <row r="13" spans="1:4" outlineLevel="2" x14ac:dyDescent="0.3">
      <c r="A13" s="2" t="s">
        <v>84</v>
      </c>
      <c r="B13" s="2">
        <v>8</v>
      </c>
      <c r="C13" s="2">
        <v>40</v>
      </c>
      <c r="D13" s="2">
        <v>50</v>
      </c>
    </row>
    <row r="14" spans="1:4" outlineLevel="2" x14ac:dyDescent="0.3">
      <c r="A14" s="2" t="s">
        <v>84</v>
      </c>
      <c r="B14" s="2">
        <v>6</v>
      </c>
      <c r="C14" s="2">
        <v>90</v>
      </c>
      <c r="D14" s="2">
        <v>120</v>
      </c>
    </row>
    <row r="15" spans="1:4" outlineLevel="2" x14ac:dyDescent="0.3">
      <c r="A15" s="2" t="s">
        <v>84</v>
      </c>
      <c r="B15" s="2">
        <v>4</v>
      </c>
      <c r="C15" s="2">
        <v>24</v>
      </c>
      <c r="D15" s="2">
        <v>180</v>
      </c>
    </row>
    <row r="16" spans="1:4" outlineLevel="2" x14ac:dyDescent="0.3">
      <c r="A16" s="2" t="s">
        <v>84</v>
      </c>
      <c r="B16" s="2">
        <v>2</v>
      </c>
      <c r="C16" s="2">
        <v>120</v>
      </c>
      <c r="D16" s="2">
        <v>50</v>
      </c>
    </row>
    <row r="17" spans="1:4" outlineLevel="2" x14ac:dyDescent="0.3">
      <c r="A17" s="2" t="s">
        <v>84</v>
      </c>
      <c r="B17" s="2">
        <v>14</v>
      </c>
      <c r="C17" s="2">
        <v>90</v>
      </c>
      <c r="D17" s="2">
        <v>120</v>
      </c>
    </row>
    <row r="18" spans="1:4" outlineLevel="2" x14ac:dyDescent="0.3">
      <c r="A18" s="2" t="s">
        <v>84</v>
      </c>
      <c r="B18" s="2">
        <v>12</v>
      </c>
      <c r="C18" s="2">
        <v>40</v>
      </c>
      <c r="D18" s="2">
        <v>180</v>
      </c>
    </row>
    <row r="19" spans="1:4" outlineLevel="1" x14ac:dyDescent="0.3">
      <c r="A19" s="4" t="s">
        <v>87</v>
      </c>
      <c r="C19" s="2">
        <f>SUBTOTAL(9,C11:C18)</f>
        <v>614</v>
      </c>
      <c r="D19" s="2">
        <f>SUBTOTAL(9,D11:D18)</f>
        <v>1000</v>
      </c>
    </row>
    <row r="20" spans="1:4" outlineLevel="2" x14ac:dyDescent="0.3">
      <c r="A20" s="2" t="s">
        <v>82</v>
      </c>
      <c r="B20" s="2">
        <v>8</v>
      </c>
      <c r="C20" s="2">
        <v>90</v>
      </c>
      <c r="D20" s="2">
        <v>90</v>
      </c>
    </row>
    <row r="21" spans="1:4" outlineLevel="2" x14ac:dyDescent="0.3">
      <c r="A21" s="2" t="s">
        <v>82</v>
      </c>
      <c r="B21" s="2">
        <v>6</v>
      </c>
      <c r="C21" s="2">
        <v>24</v>
      </c>
      <c r="D21" s="2">
        <v>20</v>
      </c>
    </row>
    <row r="22" spans="1:4" outlineLevel="2" x14ac:dyDescent="0.3">
      <c r="A22" s="2" t="s">
        <v>82</v>
      </c>
      <c r="B22" s="2">
        <v>4</v>
      </c>
      <c r="C22" s="2">
        <v>120</v>
      </c>
      <c r="D22" s="2">
        <v>60</v>
      </c>
    </row>
    <row r="23" spans="1:4" outlineLevel="2" x14ac:dyDescent="0.3">
      <c r="A23" s="2" t="s">
        <v>82</v>
      </c>
      <c r="B23" s="2">
        <v>2</v>
      </c>
      <c r="C23" s="2">
        <v>90</v>
      </c>
      <c r="D23" s="2">
        <v>90</v>
      </c>
    </row>
    <row r="24" spans="1:4" outlineLevel="2" x14ac:dyDescent="0.3">
      <c r="A24" s="2" t="s">
        <v>82</v>
      </c>
      <c r="B24" s="2">
        <v>14</v>
      </c>
      <c r="C24" s="2">
        <v>40</v>
      </c>
      <c r="D24" s="2">
        <v>20</v>
      </c>
    </row>
    <row r="25" spans="1:4" outlineLevel="2" x14ac:dyDescent="0.3">
      <c r="A25" s="2" t="s">
        <v>82</v>
      </c>
      <c r="B25" s="2">
        <v>12</v>
      </c>
      <c r="C25" s="2">
        <v>90</v>
      </c>
      <c r="D25" s="2">
        <v>60</v>
      </c>
    </row>
    <row r="26" spans="1:4" outlineLevel="2" x14ac:dyDescent="0.3">
      <c r="A26" s="2" t="s">
        <v>82</v>
      </c>
      <c r="B26" s="2">
        <v>10</v>
      </c>
      <c r="C26" s="2">
        <v>24</v>
      </c>
      <c r="D26" s="2">
        <v>90</v>
      </c>
    </row>
    <row r="27" spans="1:4" outlineLevel="2" x14ac:dyDescent="0.3">
      <c r="A27" s="2" t="s">
        <v>82</v>
      </c>
      <c r="B27" s="2">
        <v>8</v>
      </c>
      <c r="C27" s="2">
        <v>120</v>
      </c>
      <c r="D27" s="2">
        <v>20</v>
      </c>
    </row>
    <row r="28" spans="1:4" outlineLevel="1" x14ac:dyDescent="0.3">
      <c r="A28" s="4" t="s">
        <v>88</v>
      </c>
      <c r="C28" s="2">
        <f>SUBTOTAL(9,C20:C27)</f>
        <v>598</v>
      </c>
      <c r="D28" s="2">
        <f>SUBTOTAL(9,D20:D27)</f>
        <v>450</v>
      </c>
    </row>
    <row r="29" spans="1:4" outlineLevel="2" x14ac:dyDescent="0.3">
      <c r="A29" s="2" t="s">
        <v>81</v>
      </c>
      <c r="B29" s="2">
        <v>6</v>
      </c>
      <c r="C29" s="2">
        <v>180</v>
      </c>
      <c r="D29" s="2">
        <v>180</v>
      </c>
    </row>
    <row r="30" spans="1:4" outlineLevel="2" x14ac:dyDescent="0.3">
      <c r="A30" s="2" t="s">
        <v>81</v>
      </c>
      <c r="B30" s="2">
        <v>4</v>
      </c>
      <c r="C30" s="2">
        <v>50</v>
      </c>
      <c r="D30" s="2">
        <v>50</v>
      </c>
    </row>
    <row r="31" spans="1:4" outlineLevel="2" x14ac:dyDescent="0.3">
      <c r="A31" s="2" t="s">
        <v>81</v>
      </c>
      <c r="B31" s="2">
        <v>2</v>
      </c>
      <c r="C31" s="2">
        <v>100</v>
      </c>
      <c r="D31" s="2">
        <v>120</v>
      </c>
    </row>
    <row r="32" spans="1:4" outlineLevel="2" x14ac:dyDescent="0.3">
      <c r="A32" s="2" t="s">
        <v>81</v>
      </c>
      <c r="B32" s="2">
        <v>14</v>
      </c>
      <c r="C32" s="2">
        <v>20</v>
      </c>
      <c r="D32" s="2">
        <v>180</v>
      </c>
    </row>
    <row r="33" spans="1:4" outlineLevel="2" x14ac:dyDescent="0.3">
      <c r="A33" s="2" t="s">
        <v>81</v>
      </c>
      <c r="B33" s="2">
        <v>12</v>
      </c>
      <c r="C33" s="2">
        <v>60</v>
      </c>
      <c r="D33" s="2">
        <v>50</v>
      </c>
    </row>
    <row r="34" spans="1:4" outlineLevel="2" x14ac:dyDescent="0.3">
      <c r="A34" s="2" t="s">
        <v>81</v>
      </c>
      <c r="B34" s="2">
        <v>10</v>
      </c>
      <c r="C34" s="2">
        <v>180</v>
      </c>
      <c r="D34" s="2">
        <v>120</v>
      </c>
    </row>
    <row r="35" spans="1:4" outlineLevel="2" x14ac:dyDescent="0.3">
      <c r="A35" s="2" t="s">
        <v>81</v>
      </c>
      <c r="B35" s="2">
        <v>8</v>
      </c>
      <c r="C35" s="2">
        <v>50</v>
      </c>
      <c r="D35" s="2">
        <v>180</v>
      </c>
    </row>
    <row r="36" spans="1:4" outlineLevel="2" x14ac:dyDescent="0.3">
      <c r="A36" s="2" t="s">
        <v>81</v>
      </c>
      <c r="B36" s="2">
        <v>6</v>
      </c>
      <c r="C36" s="2">
        <v>100</v>
      </c>
      <c r="D36" s="2">
        <v>50</v>
      </c>
    </row>
    <row r="37" spans="1:4" outlineLevel="1" x14ac:dyDescent="0.3">
      <c r="A37" s="4" t="s">
        <v>89</v>
      </c>
      <c r="C37" s="2">
        <f>SUBTOTAL(9,C29:C36)</f>
        <v>740</v>
      </c>
      <c r="D37" s="2">
        <f>SUBTOTAL(9,D29:D36)</f>
        <v>930</v>
      </c>
    </row>
    <row r="38" spans="1:4" outlineLevel="2" x14ac:dyDescent="0.3">
      <c r="A38" s="2" t="s">
        <v>80</v>
      </c>
      <c r="B38" s="2">
        <v>4</v>
      </c>
      <c r="C38" s="2">
        <v>90</v>
      </c>
      <c r="D38" s="2">
        <v>90</v>
      </c>
    </row>
    <row r="39" spans="1:4" outlineLevel="2" x14ac:dyDescent="0.3">
      <c r="A39" s="2" t="s">
        <v>80</v>
      </c>
      <c r="B39" s="2">
        <v>2</v>
      </c>
      <c r="C39" s="2">
        <v>40</v>
      </c>
      <c r="D39" s="2">
        <v>40</v>
      </c>
    </row>
    <row r="40" spans="1:4" outlineLevel="2" x14ac:dyDescent="0.3">
      <c r="A40" s="2" t="s">
        <v>80</v>
      </c>
      <c r="B40" s="2">
        <v>14</v>
      </c>
      <c r="C40" s="2">
        <v>90</v>
      </c>
      <c r="D40" s="2">
        <v>100</v>
      </c>
    </row>
    <row r="41" spans="1:4" outlineLevel="2" x14ac:dyDescent="0.3">
      <c r="A41" s="2" t="s">
        <v>80</v>
      </c>
      <c r="B41" s="2">
        <v>12</v>
      </c>
      <c r="C41" s="2">
        <v>24</v>
      </c>
      <c r="D41" s="2">
        <v>90</v>
      </c>
    </row>
    <row r="42" spans="1:4" outlineLevel="2" x14ac:dyDescent="0.3">
      <c r="A42" s="2" t="s">
        <v>80</v>
      </c>
      <c r="B42" s="2">
        <v>10</v>
      </c>
      <c r="C42" s="2">
        <v>120</v>
      </c>
      <c r="D42" s="2">
        <v>40</v>
      </c>
    </row>
    <row r="43" spans="1:4" outlineLevel="2" x14ac:dyDescent="0.3">
      <c r="A43" s="2" t="s">
        <v>80</v>
      </c>
      <c r="B43" s="2">
        <v>8</v>
      </c>
      <c r="C43" s="2">
        <v>90</v>
      </c>
      <c r="D43" s="2">
        <v>100</v>
      </c>
    </row>
    <row r="44" spans="1:4" outlineLevel="2" x14ac:dyDescent="0.3">
      <c r="A44" s="2" t="s">
        <v>80</v>
      </c>
      <c r="B44" s="2">
        <v>6</v>
      </c>
      <c r="C44" s="2">
        <v>40</v>
      </c>
      <c r="D44" s="2">
        <v>90</v>
      </c>
    </row>
    <row r="45" spans="1:4" outlineLevel="2" x14ac:dyDescent="0.3">
      <c r="A45" s="2" t="s">
        <v>80</v>
      </c>
      <c r="B45" s="2">
        <v>4</v>
      </c>
      <c r="C45" s="2">
        <v>90</v>
      </c>
      <c r="D45" s="2">
        <v>40</v>
      </c>
    </row>
    <row r="46" spans="1:4" outlineLevel="1" x14ac:dyDescent="0.3">
      <c r="A46" s="4" t="s">
        <v>90</v>
      </c>
      <c r="C46" s="2">
        <f>SUBTOTAL(9,C38:C45)</f>
        <v>584</v>
      </c>
      <c r="D46" s="2">
        <f>SUBTOTAL(9,D38:D45)</f>
        <v>590</v>
      </c>
    </row>
    <row r="47" spans="1:4" outlineLevel="2" x14ac:dyDescent="0.3">
      <c r="A47" s="2" t="s">
        <v>85</v>
      </c>
      <c r="B47" s="2">
        <v>14</v>
      </c>
      <c r="C47" s="2">
        <v>50</v>
      </c>
      <c r="D47" s="2">
        <v>90</v>
      </c>
    </row>
    <row r="48" spans="1:4" outlineLevel="1" x14ac:dyDescent="0.3">
      <c r="A48" s="4" t="s">
        <v>91</v>
      </c>
      <c r="C48" s="2">
        <f>SUBTOTAL(9,C47:C47)</f>
        <v>50</v>
      </c>
      <c r="D48" s="2">
        <f>SUBTOTAL(9,D47:D47)</f>
        <v>90</v>
      </c>
    </row>
    <row r="49" spans="1:4" outlineLevel="2" x14ac:dyDescent="0.3">
      <c r="A49" s="2" t="s">
        <v>79</v>
      </c>
      <c r="B49" s="2">
        <v>2</v>
      </c>
      <c r="C49" s="2">
        <v>20</v>
      </c>
      <c r="D49" s="2">
        <v>20</v>
      </c>
    </row>
    <row r="50" spans="1:4" outlineLevel="2" x14ac:dyDescent="0.3">
      <c r="A50" s="2" t="s">
        <v>79</v>
      </c>
      <c r="B50" s="2">
        <v>14</v>
      </c>
      <c r="C50" s="2">
        <v>60</v>
      </c>
      <c r="D50" s="2">
        <v>60</v>
      </c>
    </row>
    <row r="51" spans="1:4" outlineLevel="2" x14ac:dyDescent="0.3">
      <c r="A51" s="2" t="s">
        <v>79</v>
      </c>
      <c r="B51" s="2">
        <v>12</v>
      </c>
      <c r="C51" s="2">
        <v>180</v>
      </c>
      <c r="D51" s="2">
        <v>90</v>
      </c>
    </row>
    <row r="52" spans="1:4" outlineLevel="2" x14ac:dyDescent="0.3">
      <c r="A52" s="2" t="s">
        <v>79</v>
      </c>
      <c r="B52" s="2">
        <v>10</v>
      </c>
      <c r="C52" s="2">
        <v>50</v>
      </c>
      <c r="D52" s="2">
        <v>20</v>
      </c>
    </row>
    <row r="53" spans="1:4" outlineLevel="2" x14ac:dyDescent="0.3">
      <c r="A53" s="2" t="s">
        <v>79</v>
      </c>
      <c r="B53" s="2">
        <v>8</v>
      </c>
      <c r="C53" s="2">
        <v>100</v>
      </c>
      <c r="D53" s="2">
        <v>60</v>
      </c>
    </row>
    <row r="54" spans="1:4" outlineLevel="2" x14ac:dyDescent="0.3">
      <c r="A54" s="2" t="s">
        <v>79</v>
      </c>
      <c r="B54" s="2">
        <v>6</v>
      </c>
      <c r="C54" s="2">
        <v>20</v>
      </c>
      <c r="D54" s="2">
        <v>90</v>
      </c>
    </row>
    <row r="55" spans="1:4" outlineLevel="2" x14ac:dyDescent="0.3">
      <c r="A55" s="2" t="s">
        <v>79</v>
      </c>
      <c r="B55" s="2">
        <v>4</v>
      </c>
      <c r="C55" s="2">
        <v>60</v>
      </c>
      <c r="D55" s="2">
        <v>20</v>
      </c>
    </row>
    <row r="56" spans="1:4" outlineLevel="2" x14ac:dyDescent="0.3">
      <c r="A56" s="2" t="s">
        <v>79</v>
      </c>
      <c r="B56" s="2">
        <v>2</v>
      </c>
      <c r="C56" s="2">
        <v>180</v>
      </c>
      <c r="D56" s="2">
        <v>60</v>
      </c>
    </row>
    <row r="57" spans="1:4" outlineLevel="1" x14ac:dyDescent="0.3">
      <c r="A57" s="4" t="s">
        <v>92</v>
      </c>
      <c r="C57" s="2">
        <f>SUBTOTAL(9,C49:C56)</f>
        <v>670</v>
      </c>
      <c r="D57" s="2">
        <f>SUBTOTAL(9,D49:D56)</f>
        <v>420</v>
      </c>
    </row>
    <row r="58" spans="1:4" x14ac:dyDescent="0.3">
      <c r="A58" s="4" t="s">
        <v>47</v>
      </c>
      <c r="C58" s="2">
        <f>SUBTOTAL(9,C2:C56)</f>
        <v>3846</v>
      </c>
      <c r="D58" s="2">
        <f>SUBTOTAL(9,D2:D56)</f>
        <v>4130</v>
      </c>
    </row>
  </sheetData>
  <sortState xmlns:xlrd2="http://schemas.microsoft.com/office/spreadsheetml/2017/richdata2" ref="A2:D56">
    <sortCondition ref="A2:A5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57FE-A8F2-4673-9BC0-CAEBA6576CD0}">
  <dimension ref="A1:D100"/>
  <sheetViews>
    <sheetView workbookViewId="0">
      <selection activeCell="B2" sqref="B2"/>
    </sheetView>
  </sheetViews>
  <sheetFormatPr defaultRowHeight="14.4" outlineLevelRow="2" x14ac:dyDescent="0.3"/>
  <cols>
    <col min="1" max="9" width="56.109375" customWidth="1"/>
  </cols>
  <sheetData>
    <row r="1" spans="1:4" ht="18" x14ac:dyDescent="0.35">
      <c r="A1" s="5" t="s">
        <v>78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83</v>
      </c>
      <c r="B2" s="2">
        <v>10</v>
      </c>
      <c r="C2" s="2">
        <v>100</v>
      </c>
      <c r="D2" s="2">
        <v>100</v>
      </c>
    </row>
    <row r="3" spans="1:4" outlineLevel="1" x14ac:dyDescent="0.3">
      <c r="A3" s="2"/>
      <c r="B3" s="4" t="s">
        <v>93</v>
      </c>
      <c r="C3" s="2">
        <f>SUBTOTAL(9,C2:C2)</f>
        <v>100</v>
      </c>
      <c r="D3" s="2">
        <f>SUBTOTAL(9,D2:D2)</f>
        <v>100</v>
      </c>
    </row>
    <row r="4" spans="1:4" outlineLevel="2" x14ac:dyDescent="0.3">
      <c r="A4" s="2" t="s">
        <v>83</v>
      </c>
      <c r="B4" s="2">
        <v>8</v>
      </c>
      <c r="C4" s="2">
        <v>20</v>
      </c>
      <c r="D4" s="2">
        <v>90</v>
      </c>
    </row>
    <row r="5" spans="1:4" outlineLevel="1" x14ac:dyDescent="0.3">
      <c r="A5" s="2"/>
      <c r="B5" s="4" t="s">
        <v>94</v>
      </c>
      <c r="C5" s="2">
        <f>SUBTOTAL(9,C4:C4)</f>
        <v>20</v>
      </c>
      <c r="D5" s="2">
        <f>SUBTOTAL(9,D4:D4)</f>
        <v>90</v>
      </c>
    </row>
    <row r="6" spans="1:4" outlineLevel="2" x14ac:dyDescent="0.3">
      <c r="A6" s="2" t="s">
        <v>83</v>
      </c>
      <c r="B6" s="2">
        <v>6</v>
      </c>
      <c r="C6" s="2">
        <v>60</v>
      </c>
      <c r="D6" s="2">
        <v>40</v>
      </c>
    </row>
    <row r="7" spans="1:4" outlineLevel="1" x14ac:dyDescent="0.3">
      <c r="A7" s="2"/>
      <c r="B7" s="4" t="s">
        <v>95</v>
      </c>
      <c r="C7" s="2">
        <f>SUBTOTAL(9,C6:C6)</f>
        <v>60</v>
      </c>
      <c r="D7" s="2">
        <f>SUBTOTAL(9,D6:D6)</f>
        <v>40</v>
      </c>
    </row>
    <row r="8" spans="1:4" outlineLevel="2" x14ac:dyDescent="0.3">
      <c r="A8" s="2" t="s">
        <v>83</v>
      </c>
      <c r="B8" s="2">
        <v>4</v>
      </c>
      <c r="C8" s="2">
        <v>180</v>
      </c>
      <c r="D8" s="2">
        <v>100</v>
      </c>
    </row>
    <row r="9" spans="1:4" outlineLevel="1" x14ac:dyDescent="0.3">
      <c r="A9" s="2"/>
      <c r="B9" s="4" t="s">
        <v>96</v>
      </c>
      <c r="C9" s="2">
        <f>SUBTOTAL(9,C8:C8)</f>
        <v>180</v>
      </c>
      <c r="D9" s="2">
        <f>SUBTOTAL(9,D8:D8)</f>
        <v>100</v>
      </c>
    </row>
    <row r="10" spans="1:4" outlineLevel="2" x14ac:dyDescent="0.3">
      <c r="A10" s="2" t="s">
        <v>83</v>
      </c>
      <c r="B10" s="2">
        <v>2</v>
      </c>
      <c r="C10" s="2">
        <v>50</v>
      </c>
      <c r="D10" s="2">
        <v>90</v>
      </c>
    </row>
    <row r="11" spans="1:4" outlineLevel="1" x14ac:dyDescent="0.3">
      <c r="A11" s="2"/>
      <c r="B11" s="4" t="s">
        <v>97</v>
      </c>
      <c r="C11" s="2">
        <f>SUBTOTAL(9,C10:C10)</f>
        <v>50</v>
      </c>
      <c r="D11" s="2">
        <f>SUBTOTAL(9,D10:D10)</f>
        <v>90</v>
      </c>
    </row>
    <row r="12" spans="1:4" outlineLevel="2" x14ac:dyDescent="0.3">
      <c r="A12" s="2" t="s">
        <v>83</v>
      </c>
      <c r="B12" s="2">
        <v>14</v>
      </c>
      <c r="C12" s="2">
        <v>100</v>
      </c>
      <c r="D12" s="2">
        <v>40</v>
      </c>
    </row>
    <row r="13" spans="1:4" outlineLevel="1" x14ac:dyDescent="0.3">
      <c r="A13" s="2"/>
      <c r="B13" s="4" t="s">
        <v>98</v>
      </c>
      <c r="C13" s="2">
        <f>SUBTOTAL(9,C12:C12)</f>
        <v>100</v>
      </c>
      <c r="D13" s="2">
        <f>SUBTOTAL(9,D12:D12)</f>
        <v>40</v>
      </c>
    </row>
    <row r="14" spans="1:4" outlineLevel="2" x14ac:dyDescent="0.3">
      <c r="A14" s="2" t="s">
        <v>83</v>
      </c>
      <c r="B14" s="2">
        <v>12</v>
      </c>
      <c r="C14" s="2">
        <v>20</v>
      </c>
      <c r="D14" s="2">
        <v>100</v>
      </c>
    </row>
    <row r="15" spans="1:4" outlineLevel="1" x14ac:dyDescent="0.3">
      <c r="A15" s="2"/>
      <c r="B15" s="4" t="s">
        <v>99</v>
      </c>
      <c r="C15" s="2">
        <f>SUBTOTAL(9,C14:C14)</f>
        <v>20</v>
      </c>
      <c r="D15" s="2">
        <f>SUBTOTAL(9,D14:D14)</f>
        <v>100</v>
      </c>
    </row>
    <row r="16" spans="1:4" outlineLevel="2" x14ac:dyDescent="0.3">
      <c r="A16" s="2" t="s">
        <v>83</v>
      </c>
      <c r="B16" s="2">
        <v>10</v>
      </c>
      <c r="C16" s="2">
        <v>60</v>
      </c>
      <c r="D16" s="2">
        <v>90</v>
      </c>
    </row>
    <row r="17" spans="1:4" outlineLevel="1" x14ac:dyDescent="0.3">
      <c r="A17" s="2"/>
      <c r="B17" s="4" t="s">
        <v>93</v>
      </c>
      <c r="C17" s="2">
        <f>SUBTOTAL(9,C16:C16)</f>
        <v>60</v>
      </c>
      <c r="D17" s="2">
        <f>SUBTOTAL(9,D16:D16)</f>
        <v>90</v>
      </c>
    </row>
    <row r="18" spans="1:4" outlineLevel="2" x14ac:dyDescent="0.3">
      <c r="A18" s="2" t="s">
        <v>84</v>
      </c>
      <c r="B18" s="2">
        <v>12</v>
      </c>
      <c r="C18" s="2">
        <v>120</v>
      </c>
      <c r="D18" s="2">
        <v>120</v>
      </c>
    </row>
    <row r="19" spans="1:4" outlineLevel="1" x14ac:dyDescent="0.3">
      <c r="A19" s="2"/>
      <c r="B19" s="4" t="s">
        <v>99</v>
      </c>
      <c r="C19" s="2">
        <f>SUBTOTAL(9,C18:C18)</f>
        <v>120</v>
      </c>
      <c r="D19" s="2">
        <f>SUBTOTAL(9,D18:D18)</f>
        <v>120</v>
      </c>
    </row>
    <row r="20" spans="1:4" outlineLevel="2" x14ac:dyDescent="0.3">
      <c r="A20" s="2" t="s">
        <v>84</v>
      </c>
      <c r="B20" s="2">
        <v>10</v>
      </c>
      <c r="C20" s="2">
        <v>90</v>
      </c>
      <c r="D20" s="2">
        <v>180</v>
      </c>
    </row>
    <row r="21" spans="1:4" outlineLevel="1" x14ac:dyDescent="0.3">
      <c r="A21" s="2"/>
      <c r="B21" s="4" t="s">
        <v>93</v>
      </c>
      <c r="C21" s="2">
        <f>SUBTOTAL(9,C20:C20)</f>
        <v>90</v>
      </c>
      <c r="D21" s="2">
        <f>SUBTOTAL(9,D20:D20)</f>
        <v>180</v>
      </c>
    </row>
    <row r="22" spans="1:4" outlineLevel="2" x14ac:dyDescent="0.3">
      <c r="A22" s="2" t="s">
        <v>84</v>
      </c>
      <c r="B22" s="2">
        <v>8</v>
      </c>
      <c r="C22" s="2">
        <v>40</v>
      </c>
      <c r="D22" s="2">
        <v>50</v>
      </c>
    </row>
    <row r="23" spans="1:4" outlineLevel="1" x14ac:dyDescent="0.3">
      <c r="A23" s="2"/>
      <c r="B23" s="4" t="s">
        <v>94</v>
      </c>
      <c r="C23" s="2">
        <f>SUBTOTAL(9,C22:C22)</f>
        <v>40</v>
      </c>
      <c r="D23" s="2">
        <f>SUBTOTAL(9,D22:D22)</f>
        <v>50</v>
      </c>
    </row>
    <row r="24" spans="1:4" outlineLevel="2" x14ac:dyDescent="0.3">
      <c r="A24" s="2" t="s">
        <v>84</v>
      </c>
      <c r="B24" s="2">
        <v>6</v>
      </c>
      <c r="C24" s="2">
        <v>90</v>
      </c>
      <c r="D24" s="2">
        <v>120</v>
      </c>
    </row>
    <row r="25" spans="1:4" outlineLevel="1" x14ac:dyDescent="0.3">
      <c r="A25" s="2"/>
      <c r="B25" s="4" t="s">
        <v>95</v>
      </c>
      <c r="C25" s="2">
        <f>SUBTOTAL(9,C24:C24)</f>
        <v>90</v>
      </c>
      <c r="D25" s="2">
        <f>SUBTOTAL(9,D24:D24)</f>
        <v>120</v>
      </c>
    </row>
    <row r="26" spans="1:4" outlineLevel="2" x14ac:dyDescent="0.3">
      <c r="A26" s="2" t="s">
        <v>84</v>
      </c>
      <c r="B26" s="2">
        <v>4</v>
      </c>
      <c r="C26" s="2">
        <v>24</v>
      </c>
      <c r="D26" s="2">
        <v>180</v>
      </c>
    </row>
    <row r="27" spans="1:4" outlineLevel="1" x14ac:dyDescent="0.3">
      <c r="A27" s="2"/>
      <c r="B27" s="4" t="s">
        <v>96</v>
      </c>
      <c r="C27" s="2">
        <f>SUBTOTAL(9,C26:C26)</f>
        <v>24</v>
      </c>
      <c r="D27" s="2">
        <f>SUBTOTAL(9,D26:D26)</f>
        <v>180</v>
      </c>
    </row>
    <row r="28" spans="1:4" outlineLevel="2" x14ac:dyDescent="0.3">
      <c r="A28" s="2" t="s">
        <v>84</v>
      </c>
      <c r="B28" s="2">
        <v>2</v>
      </c>
      <c r="C28" s="2">
        <v>120</v>
      </c>
      <c r="D28" s="2">
        <v>50</v>
      </c>
    </row>
    <row r="29" spans="1:4" outlineLevel="1" x14ac:dyDescent="0.3">
      <c r="A29" s="2"/>
      <c r="B29" s="4" t="s">
        <v>97</v>
      </c>
      <c r="C29" s="2">
        <f>SUBTOTAL(9,C28:C28)</f>
        <v>120</v>
      </c>
      <c r="D29" s="2">
        <f>SUBTOTAL(9,D28:D28)</f>
        <v>50</v>
      </c>
    </row>
    <row r="30" spans="1:4" outlineLevel="2" x14ac:dyDescent="0.3">
      <c r="A30" s="2" t="s">
        <v>84</v>
      </c>
      <c r="B30" s="2">
        <v>14</v>
      </c>
      <c r="C30" s="2">
        <v>90</v>
      </c>
      <c r="D30" s="2">
        <v>120</v>
      </c>
    </row>
    <row r="31" spans="1:4" outlineLevel="1" x14ac:dyDescent="0.3">
      <c r="A31" s="2"/>
      <c r="B31" s="4" t="s">
        <v>98</v>
      </c>
      <c r="C31" s="2">
        <f>SUBTOTAL(9,C30:C30)</f>
        <v>90</v>
      </c>
      <c r="D31" s="2">
        <f>SUBTOTAL(9,D30:D30)</f>
        <v>120</v>
      </c>
    </row>
    <row r="32" spans="1:4" outlineLevel="2" x14ac:dyDescent="0.3">
      <c r="A32" s="2" t="s">
        <v>84</v>
      </c>
      <c r="B32" s="2">
        <v>12</v>
      </c>
      <c r="C32" s="2">
        <v>40</v>
      </c>
      <c r="D32" s="2">
        <v>180</v>
      </c>
    </row>
    <row r="33" spans="1:4" outlineLevel="1" x14ac:dyDescent="0.3">
      <c r="A33" s="2"/>
      <c r="B33" s="4" t="s">
        <v>99</v>
      </c>
      <c r="C33" s="2">
        <f>SUBTOTAL(9,C32:C32)</f>
        <v>40</v>
      </c>
      <c r="D33" s="2">
        <f>SUBTOTAL(9,D32:D32)</f>
        <v>180</v>
      </c>
    </row>
    <row r="34" spans="1:4" outlineLevel="2" x14ac:dyDescent="0.3">
      <c r="A34" s="2" t="s">
        <v>82</v>
      </c>
      <c r="B34" s="2">
        <v>8</v>
      </c>
      <c r="C34" s="2">
        <v>90</v>
      </c>
      <c r="D34" s="2">
        <v>90</v>
      </c>
    </row>
    <row r="35" spans="1:4" outlineLevel="1" x14ac:dyDescent="0.3">
      <c r="A35" s="2"/>
      <c r="B35" s="4" t="s">
        <v>94</v>
      </c>
      <c r="C35" s="2">
        <f>SUBTOTAL(9,C34:C34)</f>
        <v>90</v>
      </c>
      <c r="D35" s="2">
        <f>SUBTOTAL(9,D34:D34)</f>
        <v>90</v>
      </c>
    </row>
    <row r="36" spans="1:4" outlineLevel="2" x14ac:dyDescent="0.3">
      <c r="A36" s="2" t="s">
        <v>82</v>
      </c>
      <c r="B36" s="2">
        <v>6</v>
      </c>
      <c r="C36" s="2">
        <v>24</v>
      </c>
      <c r="D36" s="2">
        <v>20</v>
      </c>
    </row>
    <row r="37" spans="1:4" outlineLevel="1" x14ac:dyDescent="0.3">
      <c r="A37" s="2"/>
      <c r="B37" s="4" t="s">
        <v>95</v>
      </c>
      <c r="C37" s="2">
        <f>SUBTOTAL(9,C36:C36)</f>
        <v>24</v>
      </c>
      <c r="D37" s="2">
        <f>SUBTOTAL(9,D36:D36)</f>
        <v>20</v>
      </c>
    </row>
    <row r="38" spans="1:4" outlineLevel="2" x14ac:dyDescent="0.3">
      <c r="A38" s="2" t="s">
        <v>82</v>
      </c>
      <c r="B38" s="2">
        <v>4</v>
      </c>
      <c r="C38" s="2">
        <v>120</v>
      </c>
      <c r="D38" s="2">
        <v>60</v>
      </c>
    </row>
    <row r="39" spans="1:4" outlineLevel="1" x14ac:dyDescent="0.3">
      <c r="A39" s="2"/>
      <c r="B39" s="4" t="s">
        <v>96</v>
      </c>
      <c r="C39" s="2">
        <f>SUBTOTAL(9,C38:C38)</f>
        <v>120</v>
      </c>
      <c r="D39" s="2">
        <f>SUBTOTAL(9,D38:D38)</f>
        <v>60</v>
      </c>
    </row>
    <row r="40" spans="1:4" outlineLevel="2" x14ac:dyDescent="0.3">
      <c r="A40" s="2" t="s">
        <v>82</v>
      </c>
      <c r="B40" s="2">
        <v>2</v>
      </c>
      <c r="C40" s="2">
        <v>90</v>
      </c>
      <c r="D40" s="2">
        <v>90</v>
      </c>
    </row>
    <row r="41" spans="1:4" outlineLevel="1" x14ac:dyDescent="0.3">
      <c r="A41" s="2"/>
      <c r="B41" s="4" t="s">
        <v>97</v>
      </c>
      <c r="C41" s="2">
        <f>SUBTOTAL(9,C40:C40)</f>
        <v>90</v>
      </c>
      <c r="D41" s="2">
        <f>SUBTOTAL(9,D40:D40)</f>
        <v>90</v>
      </c>
    </row>
    <row r="42" spans="1:4" outlineLevel="2" x14ac:dyDescent="0.3">
      <c r="A42" s="2" t="s">
        <v>82</v>
      </c>
      <c r="B42" s="2">
        <v>14</v>
      </c>
      <c r="C42" s="2">
        <v>40</v>
      </c>
      <c r="D42" s="2">
        <v>20</v>
      </c>
    </row>
    <row r="43" spans="1:4" outlineLevel="1" x14ac:dyDescent="0.3">
      <c r="A43" s="2"/>
      <c r="B43" s="4" t="s">
        <v>98</v>
      </c>
      <c r="C43" s="2">
        <f>SUBTOTAL(9,C42:C42)</f>
        <v>40</v>
      </c>
      <c r="D43" s="2">
        <f>SUBTOTAL(9,D42:D42)</f>
        <v>20</v>
      </c>
    </row>
    <row r="44" spans="1:4" outlineLevel="2" x14ac:dyDescent="0.3">
      <c r="A44" s="2" t="s">
        <v>82</v>
      </c>
      <c r="B44" s="2">
        <v>12</v>
      </c>
      <c r="C44" s="2">
        <v>90</v>
      </c>
      <c r="D44" s="2">
        <v>60</v>
      </c>
    </row>
    <row r="45" spans="1:4" outlineLevel="1" x14ac:dyDescent="0.3">
      <c r="A45" s="2"/>
      <c r="B45" s="4" t="s">
        <v>99</v>
      </c>
      <c r="C45" s="2">
        <f>SUBTOTAL(9,C44:C44)</f>
        <v>90</v>
      </c>
      <c r="D45" s="2">
        <f>SUBTOTAL(9,D44:D44)</f>
        <v>60</v>
      </c>
    </row>
    <row r="46" spans="1:4" outlineLevel="2" x14ac:dyDescent="0.3">
      <c r="A46" s="2" t="s">
        <v>82</v>
      </c>
      <c r="B46" s="2">
        <v>10</v>
      </c>
      <c r="C46" s="2">
        <v>24</v>
      </c>
      <c r="D46" s="2">
        <v>90</v>
      </c>
    </row>
    <row r="47" spans="1:4" outlineLevel="1" x14ac:dyDescent="0.3">
      <c r="A47" s="2"/>
      <c r="B47" s="4" t="s">
        <v>93</v>
      </c>
      <c r="C47" s="2">
        <f>SUBTOTAL(9,C46:C46)</f>
        <v>24</v>
      </c>
      <c r="D47" s="2">
        <f>SUBTOTAL(9,D46:D46)</f>
        <v>90</v>
      </c>
    </row>
    <row r="48" spans="1:4" outlineLevel="2" x14ac:dyDescent="0.3">
      <c r="A48" s="2" t="s">
        <v>82</v>
      </c>
      <c r="B48" s="2">
        <v>8</v>
      </c>
      <c r="C48" s="2">
        <v>120</v>
      </c>
      <c r="D48" s="2">
        <v>20</v>
      </c>
    </row>
    <row r="49" spans="1:4" outlineLevel="1" x14ac:dyDescent="0.3">
      <c r="A49" s="2"/>
      <c r="B49" s="4" t="s">
        <v>94</v>
      </c>
      <c r="C49" s="2">
        <f>SUBTOTAL(9,C48:C48)</f>
        <v>120</v>
      </c>
      <c r="D49" s="2">
        <f>SUBTOTAL(9,D48:D48)</f>
        <v>20</v>
      </c>
    </row>
    <row r="50" spans="1:4" outlineLevel="2" x14ac:dyDescent="0.3">
      <c r="A50" s="2" t="s">
        <v>81</v>
      </c>
      <c r="B50" s="2">
        <v>6</v>
      </c>
      <c r="C50" s="2">
        <v>180</v>
      </c>
      <c r="D50" s="2">
        <v>180</v>
      </c>
    </row>
    <row r="51" spans="1:4" outlineLevel="1" x14ac:dyDescent="0.3">
      <c r="A51" s="2"/>
      <c r="B51" s="4" t="s">
        <v>95</v>
      </c>
      <c r="C51" s="2">
        <f>SUBTOTAL(9,C50:C50)</f>
        <v>180</v>
      </c>
      <c r="D51" s="2">
        <f>SUBTOTAL(9,D50:D50)</f>
        <v>180</v>
      </c>
    </row>
    <row r="52" spans="1:4" outlineLevel="2" x14ac:dyDescent="0.3">
      <c r="A52" s="2" t="s">
        <v>81</v>
      </c>
      <c r="B52" s="2">
        <v>4</v>
      </c>
      <c r="C52" s="2">
        <v>50</v>
      </c>
      <c r="D52" s="2">
        <v>50</v>
      </c>
    </row>
    <row r="53" spans="1:4" outlineLevel="1" x14ac:dyDescent="0.3">
      <c r="A53" s="2"/>
      <c r="B53" s="4" t="s">
        <v>96</v>
      </c>
      <c r="C53" s="2">
        <f>SUBTOTAL(9,C52:C52)</f>
        <v>50</v>
      </c>
      <c r="D53" s="2">
        <f>SUBTOTAL(9,D52:D52)</f>
        <v>50</v>
      </c>
    </row>
    <row r="54" spans="1:4" outlineLevel="2" x14ac:dyDescent="0.3">
      <c r="A54" s="2" t="s">
        <v>81</v>
      </c>
      <c r="B54" s="2">
        <v>2</v>
      </c>
      <c r="C54" s="2">
        <v>100</v>
      </c>
      <c r="D54" s="2">
        <v>120</v>
      </c>
    </row>
    <row r="55" spans="1:4" outlineLevel="1" x14ac:dyDescent="0.3">
      <c r="A55" s="2"/>
      <c r="B55" s="4" t="s">
        <v>97</v>
      </c>
      <c r="C55" s="2">
        <f>SUBTOTAL(9,C54:C54)</f>
        <v>100</v>
      </c>
      <c r="D55" s="2">
        <f>SUBTOTAL(9,D54:D54)</f>
        <v>120</v>
      </c>
    </row>
    <row r="56" spans="1:4" outlineLevel="2" x14ac:dyDescent="0.3">
      <c r="A56" s="2" t="s">
        <v>81</v>
      </c>
      <c r="B56" s="2">
        <v>14</v>
      </c>
      <c r="C56" s="2">
        <v>20</v>
      </c>
      <c r="D56" s="2">
        <v>180</v>
      </c>
    </row>
    <row r="57" spans="1:4" outlineLevel="1" x14ac:dyDescent="0.3">
      <c r="A57" s="2"/>
      <c r="B57" s="4" t="s">
        <v>98</v>
      </c>
      <c r="C57" s="2">
        <f>SUBTOTAL(9,C56:C56)</f>
        <v>20</v>
      </c>
      <c r="D57" s="2">
        <f>SUBTOTAL(9,D56:D56)</f>
        <v>180</v>
      </c>
    </row>
    <row r="58" spans="1:4" outlineLevel="2" x14ac:dyDescent="0.3">
      <c r="A58" s="2" t="s">
        <v>81</v>
      </c>
      <c r="B58" s="2">
        <v>12</v>
      </c>
      <c r="C58" s="2">
        <v>60</v>
      </c>
      <c r="D58" s="2">
        <v>50</v>
      </c>
    </row>
    <row r="59" spans="1:4" outlineLevel="1" x14ac:dyDescent="0.3">
      <c r="A59" s="2"/>
      <c r="B59" s="4" t="s">
        <v>99</v>
      </c>
      <c r="C59" s="2">
        <f>SUBTOTAL(9,C58:C58)</f>
        <v>60</v>
      </c>
      <c r="D59" s="2">
        <f>SUBTOTAL(9,D58:D58)</f>
        <v>50</v>
      </c>
    </row>
    <row r="60" spans="1:4" outlineLevel="2" x14ac:dyDescent="0.3">
      <c r="A60" s="2" t="s">
        <v>81</v>
      </c>
      <c r="B60" s="2">
        <v>10</v>
      </c>
      <c r="C60" s="2">
        <v>180</v>
      </c>
      <c r="D60" s="2">
        <v>120</v>
      </c>
    </row>
    <row r="61" spans="1:4" outlineLevel="1" x14ac:dyDescent="0.3">
      <c r="A61" s="2"/>
      <c r="B61" s="4" t="s">
        <v>93</v>
      </c>
      <c r="C61" s="2">
        <f>SUBTOTAL(9,C60:C60)</f>
        <v>180</v>
      </c>
      <c r="D61" s="2">
        <f>SUBTOTAL(9,D60:D60)</f>
        <v>120</v>
      </c>
    </row>
    <row r="62" spans="1:4" outlineLevel="2" x14ac:dyDescent="0.3">
      <c r="A62" s="2" t="s">
        <v>81</v>
      </c>
      <c r="B62" s="2">
        <v>8</v>
      </c>
      <c r="C62" s="2">
        <v>50</v>
      </c>
      <c r="D62" s="2">
        <v>180</v>
      </c>
    </row>
    <row r="63" spans="1:4" outlineLevel="1" x14ac:dyDescent="0.3">
      <c r="A63" s="2"/>
      <c r="B63" s="4" t="s">
        <v>94</v>
      </c>
      <c r="C63" s="2">
        <f>SUBTOTAL(9,C62:C62)</f>
        <v>50</v>
      </c>
      <c r="D63" s="2">
        <f>SUBTOTAL(9,D62:D62)</f>
        <v>180</v>
      </c>
    </row>
    <row r="64" spans="1:4" outlineLevel="2" x14ac:dyDescent="0.3">
      <c r="A64" s="2" t="s">
        <v>81</v>
      </c>
      <c r="B64" s="2">
        <v>6</v>
      </c>
      <c r="C64" s="2">
        <v>100</v>
      </c>
      <c r="D64" s="2">
        <v>50</v>
      </c>
    </row>
    <row r="65" spans="1:4" outlineLevel="1" x14ac:dyDescent="0.3">
      <c r="A65" s="2"/>
      <c r="B65" s="4" t="s">
        <v>95</v>
      </c>
      <c r="C65" s="2">
        <f>SUBTOTAL(9,C64:C64)</f>
        <v>100</v>
      </c>
      <c r="D65" s="2">
        <f>SUBTOTAL(9,D64:D64)</f>
        <v>50</v>
      </c>
    </row>
    <row r="66" spans="1:4" outlineLevel="2" x14ac:dyDescent="0.3">
      <c r="A66" s="2" t="s">
        <v>80</v>
      </c>
      <c r="B66" s="2">
        <v>4</v>
      </c>
      <c r="C66" s="2">
        <v>90</v>
      </c>
      <c r="D66" s="2">
        <v>90</v>
      </c>
    </row>
    <row r="67" spans="1:4" outlineLevel="1" x14ac:dyDescent="0.3">
      <c r="A67" s="2"/>
      <c r="B67" s="4" t="s">
        <v>96</v>
      </c>
      <c r="C67" s="2">
        <f>SUBTOTAL(9,C66:C66)</f>
        <v>90</v>
      </c>
      <c r="D67" s="2">
        <f>SUBTOTAL(9,D66:D66)</f>
        <v>90</v>
      </c>
    </row>
    <row r="68" spans="1:4" outlineLevel="2" x14ac:dyDescent="0.3">
      <c r="A68" s="2" t="s">
        <v>80</v>
      </c>
      <c r="B68" s="2">
        <v>2</v>
      </c>
      <c r="C68" s="2">
        <v>40</v>
      </c>
      <c r="D68" s="2">
        <v>40</v>
      </c>
    </row>
    <row r="69" spans="1:4" outlineLevel="1" x14ac:dyDescent="0.3">
      <c r="A69" s="2"/>
      <c r="B69" s="4" t="s">
        <v>97</v>
      </c>
      <c r="C69" s="2">
        <f>SUBTOTAL(9,C68:C68)</f>
        <v>40</v>
      </c>
      <c r="D69" s="2">
        <f>SUBTOTAL(9,D68:D68)</f>
        <v>40</v>
      </c>
    </row>
    <row r="70" spans="1:4" outlineLevel="2" x14ac:dyDescent="0.3">
      <c r="A70" s="2" t="s">
        <v>80</v>
      </c>
      <c r="B70" s="2">
        <v>14</v>
      </c>
      <c r="C70" s="2">
        <v>90</v>
      </c>
      <c r="D70" s="2">
        <v>100</v>
      </c>
    </row>
    <row r="71" spans="1:4" outlineLevel="1" x14ac:dyDescent="0.3">
      <c r="A71" s="2"/>
      <c r="B71" s="4" t="s">
        <v>98</v>
      </c>
      <c r="C71" s="2">
        <f>SUBTOTAL(9,C70:C70)</f>
        <v>90</v>
      </c>
      <c r="D71" s="2">
        <f>SUBTOTAL(9,D70:D70)</f>
        <v>100</v>
      </c>
    </row>
    <row r="72" spans="1:4" outlineLevel="2" x14ac:dyDescent="0.3">
      <c r="A72" s="2" t="s">
        <v>80</v>
      </c>
      <c r="B72" s="2">
        <v>12</v>
      </c>
      <c r="C72" s="2">
        <v>24</v>
      </c>
      <c r="D72" s="2">
        <v>90</v>
      </c>
    </row>
    <row r="73" spans="1:4" outlineLevel="1" x14ac:dyDescent="0.3">
      <c r="A73" s="2"/>
      <c r="B73" s="4" t="s">
        <v>99</v>
      </c>
      <c r="C73" s="2">
        <f>SUBTOTAL(9,C72:C72)</f>
        <v>24</v>
      </c>
      <c r="D73" s="2">
        <f>SUBTOTAL(9,D72:D72)</f>
        <v>90</v>
      </c>
    </row>
    <row r="74" spans="1:4" outlineLevel="2" x14ac:dyDescent="0.3">
      <c r="A74" s="2" t="s">
        <v>80</v>
      </c>
      <c r="B74" s="2">
        <v>10</v>
      </c>
      <c r="C74" s="2">
        <v>120</v>
      </c>
      <c r="D74" s="2">
        <v>40</v>
      </c>
    </row>
    <row r="75" spans="1:4" outlineLevel="1" x14ac:dyDescent="0.3">
      <c r="A75" s="2"/>
      <c r="B75" s="4" t="s">
        <v>93</v>
      </c>
      <c r="C75" s="2">
        <f>SUBTOTAL(9,C74:C74)</f>
        <v>120</v>
      </c>
      <c r="D75" s="2">
        <f>SUBTOTAL(9,D74:D74)</f>
        <v>40</v>
      </c>
    </row>
    <row r="76" spans="1:4" outlineLevel="2" x14ac:dyDescent="0.3">
      <c r="A76" s="2" t="s">
        <v>80</v>
      </c>
      <c r="B76" s="2">
        <v>8</v>
      </c>
      <c r="C76" s="2">
        <v>90</v>
      </c>
      <c r="D76" s="2">
        <v>100</v>
      </c>
    </row>
    <row r="77" spans="1:4" outlineLevel="1" x14ac:dyDescent="0.3">
      <c r="A77" s="2"/>
      <c r="B77" s="4" t="s">
        <v>94</v>
      </c>
      <c r="C77" s="2">
        <f>SUBTOTAL(9,C76:C76)</f>
        <v>90</v>
      </c>
      <c r="D77" s="2">
        <f>SUBTOTAL(9,D76:D76)</f>
        <v>100</v>
      </c>
    </row>
    <row r="78" spans="1:4" outlineLevel="2" x14ac:dyDescent="0.3">
      <c r="A78" s="2" t="s">
        <v>80</v>
      </c>
      <c r="B78" s="2">
        <v>6</v>
      </c>
      <c r="C78" s="2">
        <v>40</v>
      </c>
      <c r="D78" s="2">
        <v>90</v>
      </c>
    </row>
    <row r="79" spans="1:4" outlineLevel="1" x14ac:dyDescent="0.3">
      <c r="A79" s="2"/>
      <c r="B79" s="4" t="s">
        <v>95</v>
      </c>
      <c r="C79" s="2">
        <f>SUBTOTAL(9,C78:C78)</f>
        <v>40</v>
      </c>
      <c r="D79" s="2">
        <f>SUBTOTAL(9,D78:D78)</f>
        <v>90</v>
      </c>
    </row>
    <row r="80" spans="1:4" outlineLevel="2" x14ac:dyDescent="0.3">
      <c r="A80" s="2" t="s">
        <v>80</v>
      </c>
      <c r="B80" s="2">
        <v>4</v>
      </c>
      <c r="C80" s="2">
        <v>90</v>
      </c>
      <c r="D80" s="2">
        <v>40</v>
      </c>
    </row>
    <row r="81" spans="1:4" outlineLevel="1" x14ac:dyDescent="0.3">
      <c r="A81" s="2"/>
      <c r="B81" s="4" t="s">
        <v>96</v>
      </c>
      <c r="C81" s="2">
        <f>SUBTOTAL(9,C80:C80)</f>
        <v>90</v>
      </c>
      <c r="D81" s="2">
        <f>SUBTOTAL(9,D80:D80)</f>
        <v>40</v>
      </c>
    </row>
    <row r="82" spans="1:4" outlineLevel="2" x14ac:dyDescent="0.3">
      <c r="A82" s="2" t="s">
        <v>85</v>
      </c>
      <c r="B82" s="2">
        <v>14</v>
      </c>
      <c r="C82" s="2">
        <v>50</v>
      </c>
      <c r="D82" s="2">
        <v>90</v>
      </c>
    </row>
    <row r="83" spans="1:4" outlineLevel="1" x14ac:dyDescent="0.3">
      <c r="A83" s="2"/>
      <c r="B83" s="4" t="s">
        <v>98</v>
      </c>
      <c r="C83" s="2">
        <f>SUBTOTAL(9,C82:C82)</f>
        <v>50</v>
      </c>
      <c r="D83" s="2">
        <f>SUBTOTAL(9,D82:D82)</f>
        <v>90</v>
      </c>
    </row>
    <row r="84" spans="1:4" outlineLevel="2" x14ac:dyDescent="0.3">
      <c r="A84" s="2" t="s">
        <v>79</v>
      </c>
      <c r="B84" s="2">
        <v>2</v>
      </c>
      <c r="C84" s="2">
        <v>20</v>
      </c>
      <c r="D84" s="2">
        <v>20</v>
      </c>
    </row>
    <row r="85" spans="1:4" outlineLevel="1" x14ac:dyDescent="0.3">
      <c r="A85" s="2"/>
      <c r="B85" s="4" t="s">
        <v>97</v>
      </c>
      <c r="C85" s="2">
        <f>SUBTOTAL(9,C84:C84)</f>
        <v>20</v>
      </c>
      <c r="D85" s="2">
        <f>SUBTOTAL(9,D84:D84)</f>
        <v>20</v>
      </c>
    </row>
    <row r="86" spans="1:4" outlineLevel="2" x14ac:dyDescent="0.3">
      <c r="A86" s="2" t="s">
        <v>79</v>
      </c>
      <c r="B86" s="2">
        <v>14</v>
      </c>
      <c r="C86" s="2">
        <v>60</v>
      </c>
      <c r="D86" s="2">
        <v>60</v>
      </c>
    </row>
    <row r="87" spans="1:4" outlineLevel="1" x14ac:dyDescent="0.3">
      <c r="A87" s="2"/>
      <c r="B87" s="4" t="s">
        <v>98</v>
      </c>
      <c r="C87" s="2">
        <f>SUBTOTAL(9,C86:C86)</f>
        <v>60</v>
      </c>
      <c r="D87" s="2">
        <f>SUBTOTAL(9,D86:D86)</f>
        <v>60</v>
      </c>
    </row>
    <row r="88" spans="1:4" outlineLevel="2" x14ac:dyDescent="0.3">
      <c r="A88" s="2" t="s">
        <v>79</v>
      </c>
      <c r="B88" s="2">
        <v>12</v>
      </c>
      <c r="C88" s="2">
        <v>180</v>
      </c>
      <c r="D88" s="2">
        <v>90</v>
      </c>
    </row>
    <row r="89" spans="1:4" outlineLevel="1" x14ac:dyDescent="0.3">
      <c r="A89" s="2"/>
      <c r="B89" s="4" t="s">
        <v>99</v>
      </c>
      <c r="C89" s="2">
        <f>SUBTOTAL(9,C88:C88)</f>
        <v>180</v>
      </c>
      <c r="D89" s="2">
        <f>SUBTOTAL(9,D88:D88)</f>
        <v>90</v>
      </c>
    </row>
    <row r="90" spans="1:4" outlineLevel="2" x14ac:dyDescent="0.3">
      <c r="A90" s="2" t="s">
        <v>79</v>
      </c>
      <c r="B90" s="2">
        <v>10</v>
      </c>
      <c r="C90" s="2">
        <v>50</v>
      </c>
      <c r="D90" s="2">
        <v>20</v>
      </c>
    </row>
    <row r="91" spans="1:4" outlineLevel="1" x14ac:dyDescent="0.3">
      <c r="A91" s="2"/>
      <c r="B91" s="4" t="s">
        <v>93</v>
      </c>
      <c r="C91" s="2">
        <f>SUBTOTAL(9,C90:C90)</f>
        <v>50</v>
      </c>
      <c r="D91" s="2">
        <f>SUBTOTAL(9,D90:D90)</f>
        <v>20</v>
      </c>
    </row>
    <row r="92" spans="1:4" outlineLevel="2" x14ac:dyDescent="0.3">
      <c r="A92" s="2" t="s">
        <v>79</v>
      </c>
      <c r="B92" s="2">
        <v>8</v>
      </c>
      <c r="C92" s="2">
        <v>100</v>
      </c>
      <c r="D92" s="2">
        <v>60</v>
      </c>
    </row>
    <row r="93" spans="1:4" outlineLevel="1" x14ac:dyDescent="0.3">
      <c r="A93" s="2"/>
      <c r="B93" s="4" t="s">
        <v>94</v>
      </c>
      <c r="C93" s="2">
        <f>SUBTOTAL(9,C92:C92)</f>
        <v>100</v>
      </c>
      <c r="D93" s="2">
        <f>SUBTOTAL(9,D92:D92)</f>
        <v>60</v>
      </c>
    </row>
    <row r="94" spans="1:4" outlineLevel="2" x14ac:dyDescent="0.3">
      <c r="A94" s="2" t="s">
        <v>79</v>
      </c>
      <c r="B94" s="2">
        <v>6</v>
      </c>
      <c r="C94" s="2">
        <v>20</v>
      </c>
      <c r="D94" s="2">
        <v>90</v>
      </c>
    </row>
    <row r="95" spans="1:4" outlineLevel="1" x14ac:dyDescent="0.3">
      <c r="A95" s="2"/>
      <c r="B95" s="4" t="s">
        <v>95</v>
      </c>
      <c r="C95" s="2">
        <f>SUBTOTAL(9,C94:C94)</f>
        <v>20</v>
      </c>
      <c r="D95" s="2">
        <f>SUBTOTAL(9,D94:D94)</f>
        <v>90</v>
      </c>
    </row>
    <row r="96" spans="1:4" outlineLevel="2" x14ac:dyDescent="0.3">
      <c r="A96" s="2" t="s">
        <v>79</v>
      </c>
      <c r="B96" s="2">
        <v>4</v>
      </c>
      <c r="C96" s="2">
        <v>60</v>
      </c>
      <c r="D96" s="2">
        <v>20</v>
      </c>
    </row>
    <row r="97" spans="1:4" outlineLevel="1" x14ac:dyDescent="0.3">
      <c r="A97" s="2"/>
      <c r="B97" s="4" t="s">
        <v>96</v>
      </c>
      <c r="C97" s="2">
        <f>SUBTOTAL(9,C96:C96)</f>
        <v>60</v>
      </c>
      <c r="D97" s="2">
        <f>SUBTOTAL(9,D96:D96)</f>
        <v>20</v>
      </c>
    </row>
    <row r="98" spans="1:4" outlineLevel="2" x14ac:dyDescent="0.3">
      <c r="A98" s="2" t="s">
        <v>79</v>
      </c>
      <c r="B98" s="2">
        <v>2</v>
      </c>
      <c r="C98" s="2">
        <v>180</v>
      </c>
      <c r="D98" s="2">
        <v>60</v>
      </c>
    </row>
    <row r="99" spans="1:4" outlineLevel="1" x14ac:dyDescent="0.3">
      <c r="A99" s="2"/>
      <c r="B99" s="4" t="s">
        <v>97</v>
      </c>
      <c r="C99" s="2">
        <f>SUBTOTAL(9,C98:C98)</f>
        <v>180</v>
      </c>
      <c r="D99" s="2">
        <f>SUBTOTAL(9,D98:D98)</f>
        <v>60</v>
      </c>
    </row>
    <row r="100" spans="1:4" x14ac:dyDescent="0.3">
      <c r="A100" s="2"/>
      <c r="B100" s="4" t="s">
        <v>47</v>
      </c>
      <c r="C100" s="2">
        <f>SUBTOTAL(9,C2:C98)</f>
        <v>3846</v>
      </c>
      <c r="D100" s="2">
        <f>SUBTOTAL(9,D2:D98)</f>
        <v>4130</v>
      </c>
    </row>
  </sheetData>
  <sortState xmlns:xlrd2="http://schemas.microsoft.com/office/spreadsheetml/2017/richdata2" ref="A2:D98">
    <sortCondition ref="A2:A9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5BBE-A8D2-4288-9F81-44EA6AA554F0}">
  <dimension ref="A1:D58"/>
  <sheetViews>
    <sheetView workbookViewId="0"/>
  </sheetViews>
  <sheetFormatPr defaultRowHeight="14.4" outlineLevelRow="2" x14ac:dyDescent="0.3"/>
  <cols>
    <col min="1" max="5" width="50.6640625" customWidth="1"/>
  </cols>
  <sheetData>
    <row r="1" spans="1:4" ht="18" x14ac:dyDescent="0.35">
      <c r="A1" s="5" t="s">
        <v>78</v>
      </c>
      <c r="B1" s="5" t="s">
        <v>56</v>
      </c>
      <c r="C1" s="5" t="s">
        <v>57</v>
      </c>
      <c r="D1" s="5" t="s">
        <v>58</v>
      </c>
    </row>
    <row r="2" spans="1:4" outlineLevel="2" x14ac:dyDescent="0.3">
      <c r="A2" s="2" t="s">
        <v>83</v>
      </c>
      <c r="B2" s="2">
        <v>10</v>
      </c>
      <c r="C2" s="2">
        <v>100</v>
      </c>
      <c r="D2" s="2">
        <v>100</v>
      </c>
    </row>
    <row r="3" spans="1:4" outlineLevel="2" x14ac:dyDescent="0.3">
      <c r="A3" s="2" t="s">
        <v>83</v>
      </c>
      <c r="B3" s="2">
        <v>8</v>
      </c>
      <c r="C3" s="2">
        <v>20</v>
      </c>
      <c r="D3" s="2">
        <v>90</v>
      </c>
    </row>
    <row r="4" spans="1:4" outlineLevel="2" x14ac:dyDescent="0.3">
      <c r="A4" s="2" t="s">
        <v>83</v>
      </c>
      <c r="B4" s="2">
        <v>6</v>
      </c>
      <c r="C4" s="2">
        <v>60</v>
      </c>
      <c r="D4" s="2">
        <v>40</v>
      </c>
    </row>
    <row r="5" spans="1:4" outlineLevel="2" x14ac:dyDescent="0.3">
      <c r="A5" s="2" t="s">
        <v>83</v>
      </c>
      <c r="B5" s="2">
        <v>4</v>
      </c>
      <c r="C5" s="2">
        <v>180</v>
      </c>
      <c r="D5" s="2">
        <v>100</v>
      </c>
    </row>
    <row r="6" spans="1:4" outlineLevel="2" x14ac:dyDescent="0.3">
      <c r="A6" s="2" t="s">
        <v>83</v>
      </c>
      <c r="B6" s="2">
        <v>2</v>
      </c>
      <c r="C6" s="2">
        <v>50</v>
      </c>
      <c r="D6" s="2">
        <v>90</v>
      </c>
    </row>
    <row r="7" spans="1:4" outlineLevel="2" x14ac:dyDescent="0.3">
      <c r="A7" s="2" t="s">
        <v>83</v>
      </c>
      <c r="B7" s="2">
        <v>14</v>
      </c>
      <c r="C7" s="2">
        <v>100</v>
      </c>
      <c r="D7" s="2">
        <v>40</v>
      </c>
    </row>
    <row r="8" spans="1:4" outlineLevel="2" x14ac:dyDescent="0.3">
      <c r="A8" s="2" t="s">
        <v>83</v>
      </c>
      <c r="B8" s="2">
        <v>12</v>
      </c>
      <c r="C8" s="2">
        <v>20</v>
      </c>
      <c r="D8" s="2">
        <v>100</v>
      </c>
    </row>
    <row r="9" spans="1:4" outlineLevel="2" x14ac:dyDescent="0.3">
      <c r="A9" s="2" t="s">
        <v>83</v>
      </c>
      <c r="B9" s="2">
        <v>10</v>
      </c>
      <c r="C9" s="2">
        <v>60</v>
      </c>
      <c r="D9" s="2">
        <v>90</v>
      </c>
    </row>
    <row r="10" spans="1:4" outlineLevel="1" x14ac:dyDescent="0.3">
      <c r="A10" s="4" t="s">
        <v>86</v>
      </c>
      <c r="B10" s="2">
        <f>SUBTOTAL(9,B2:B9)</f>
        <v>66</v>
      </c>
      <c r="C10" s="2">
        <f>SUBTOTAL(9,C2:C9)</f>
        <v>590</v>
      </c>
      <c r="D10" s="2">
        <f>SUBTOTAL(9,D2:D9)</f>
        <v>650</v>
      </c>
    </row>
    <row r="11" spans="1:4" outlineLevel="2" x14ac:dyDescent="0.3">
      <c r="A11" s="2" t="s">
        <v>84</v>
      </c>
      <c r="B11" s="2">
        <v>12</v>
      </c>
      <c r="C11" s="2">
        <v>120</v>
      </c>
      <c r="D11" s="2">
        <v>120</v>
      </c>
    </row>
    <row r="12" spans="1:4" outlineLevel="2" x14ac:dyDescent="0.3">
      <c r="A12" s="2" t="s">
        <v>84</v>
      </c>
      <c r="B12" s="2">
        <v>10</v>
      </c>
      <c r="C12" s="2">
        <v>90</v>
      </c>
      <c r="D12" s="2">
        <v>180</v>
      </c>
    </row>
    <row r="13" spans="1:4" outlineLevel="2" x14ac:dyDescent="0.3">
      <c r="A13" s="2" t="s">
        <v>84</v>
      </c>
      <c r="B13" s="2">
        <v>8</v>
      </c>
      <c r="C13" s="2">
        <v>40</v>
      </c>
      <c r="D13" s="2">
        <v>50</v>
      </c>
    </row>
    <row r="14" spans="1:4" outlineLevel="2" x14ac:dyDescent="0.3">
      <c r="A14" s="2" t="s">
        <v>84</v>
      </c>
      <c r="B14" s="2">
        <v>6</v>
      </c>
      <c r="C14" s="2">
        <v>90</v>
      </c>
      <c r="D14" s="2">
        <v>120</v>
      </c>
    </row>
    <row r="15" spans="1:4" outlineLevel="2" x14ac:dyDescent="0.3">
      <c r="A15" s="2" t="s">
        <v>84</v>
      </c>
      <c r="B15" s="2">
        <v>4</v>
      </c>
      <c r="C15" s="2">
        <v>24</v>
      </c>
      <c r="D15" s="2">
        <v>180</v>
      </c>
    </row>
    <row r="16" spans="1:4" outlineLevel="2" x14ac:dyDescent="0.3">
      <c r="A16" s="2" t="s">
        <v>84</v>
      </c>
      <c r="B16" s="2">
        <v>2</v>
      </c>
      <c r="C16" s="2">
        <v>120</v>
      </c>
      <c r="D16" s="2">
        <v>50</v>
      </c>
    </row>
    <row r="17" spans="1:4" outlineLevel="2" x14ac:dyDescent="0.3">
      <c r="A17" s="2" t="s">
        <v>84</v>
      </c>
      <c r="B17" s="2">
        <v>14</v>
      </c>
      <c r="C17" s="2">
        <v>90</v>
      </c>
      <c r="D17" s="2">
        <v>120</v>
      </c>
    </row>
    <row r="18" spans="1:4" outlineLevel="2" x14ac:dyDescent="0.3">
      <c r="A18" s="2" t="s">
        <v>84</v>
      </c>
      <c r="B18" s="2">
        <v>12</v>
      </c>
      <c r="C18" s="2">
        <v>40</v>
      </c>
      <c r="D18" s="2">
        <v>180</v>
      </c>
    </row>
    <row r="19" spans="1:4" outlineLevel="1" x14ac:dyDescent="0.3">
      <c r="A19" s="4" t="s">
        <v>87</v>
      </c>
      <c r="B19" s="2">
        <f>SUBTOTAL(9,B11:B18)</f>
        <v>68</v>
      </c>
      <c r="C19" s="2">
        <f>SUBTOTAL(9,C11:C18)</f>
        <v>614</v>
      </c>
      <c r="D19" s="2">
        <f>SUBTOTAL(9,D11:D18)</f>
        <v>1000</v>
      </c>
    </row>
    <row r="20" spans="1:4" outlineLevel="2" x14ac:dyDescent="0.3">
      <c r="A20" s="2" t="s">
        <v>82</v>
      </c>
      <c r="B20" s="2">
        <v>8</v>
      </c>
      <c r="C20" s="2">
        <v>90</v>
      </c>
      <c r="D20" s="2">
        <v>90</v>
      </c>
    </row>
    <row r="21" spans="1:4" outlineLevel="2" x14ac:dyDescent="0.3">
      <c r="A21" s="2" t="s">
        <v>82</v>
      </c>
      <c r="B21" s="2">
        <v>6</v>
      </c>
      <c r="C21" s="2">
        <v>24</v>
      </c>
      <c r="D21" s="2">
        <v>20</v>
      </c>
    </row>
    <row r="22" spans="1:4" outlineLevel="2" x14ac:dyDescent="0.3">
      <c r="A22" s="2" t="s">
        <v>82</v>
      </c>
      <c r="B22" s="2">
        <v>4</v>
      </c>
      <c r="C22" s="2">
        <v>120</v>
      </c>
      <c r="D22" s="2">
        <v>60</v>
      </c>
    </row>
    <row r="23" spans="1:4" outlineLevel="2" x14ac:dyDescent="0.3">
      <c r="A23" s="2" t="s">
        <v>82</v>
      </c>
      <c r="B23" s="2">
        <v>2</v>
      </c>
      <c r="C23" s="2">
        <v>90</v>
      </c>
      <c r="D23" s="2">
        <v>90</v>
      </c>
    </row>
    <row r="24" spans="1:4" outlineLevel="2" x14ac:dyDescent="0.3">
      <c r="A24" s="2" t="s">
        <v>82</v>
      </c>
      <c r="B24" s="2">
        <v>14</v>
      </c>
      <c r="C24" s="2">
        <v>40</v>
      </c>
      <c r="D24" s="2">
        <v>20</v>
      </c>
    </row>
    <row r="25" spans="1:4" outlineLevel="2" x14ac:dyDescent="0.3">
      <c r="A25" s="2" t="s">
        <v>82</v>
      </c>
      <c r="B25" s="2">
        <v>12</v>
      </c>
      <c r="C25" s="2">
        <v>90</v>
      </c>
      <c r="D25" s="2">
        <v>60</v>
      </c>
    </row>
    <row r="26" spans="1:4" outlineLevel="2" x14ac:dyDescent="0.3">
      <c r="A26" s="2" t="s">
        <v>82</v>
      </c>
      <c r="B26" s="2">
        <v>10</v>
      </c>
      <c r="C26" s="2">
        <v>24</v>
      </c>
      <c r="D26" s="2">
        <v>90</v>
      </c>
    </row>
    <row r="27" spans="1:4" outlineLevel="2" x14ac:dyDescent="0.3">
      <c r="A27" s="2" t="s">
        <v>82</v>
      </c>
      <c r="B27" s="2">
        <v>8</v>
      </c>
      <c r="C27" s="2">
        <v>120</v>
      </c>
      <c r="D27" s="2">
        <v>20</v>
      </c>
    </row>
    <row r="28" spans="1:4" outlineLevel="1" x14ac:dyDescent="0.3">
      <c r="A28" s="4" t="s">
        <v>88</v>
      </c>
      <c r="B28" s="2">
        <f>SUBTOTAL(9,B20:B27)</f>
        <v>64</v>
      </c>
      <c r="C28" s="2">
        <f>SUBTOTAL(9,C20:C27)</f>
        <v>598</v>
      </c>
      <c r="D28" s="2">
        <f>SUBTOTAL(9,D20:D27)</f>
        <v>450</v>
      </c>
    </row>
    <row r="29" spans="1:4" outlineLevel="2" x14ac:dyDescent="0.3">
      <c r="A29" s="2" t="s">
        <v>81</v>
      </c>
      <c r="B29" s="2">
        <v>6</v>
      </c>
      <c r="C29" s="2">
        <v>180</v>
      </c>
      <c r="D29" s="2">
        <v>180</v>
      </c>
    </row>
    <row r="30" spans="1:4" outlineLevel="2" x14ac:dyDescent="0.3">
      <c r="A30" s="2" t="s">
        <v>81</v>
      </c>
      <c r="B30" s="2">
        <v>4</v>
      </c>
      <c r="C30" s="2">
        <v>50</v>
      </c>
      <c r="D30" s="2">
        <v>50</v>
      </c>
    </row>
    <row r="31" spans="1:4" outlineLevel="2" x14ac:dyDescent="0.3">
      <c r="A31" s="2" t="s">
        <v>81</v>
      </c>
      <c r="B31" s="2">
        <v>2</v>
      </c>
      <c r="C31" s="2">
        <v>100</v>
      </c>
      <c r="D31" s="2">
        <v>120</v>
      </c>
    </row>
    <row r="32" spans="1:4" outlineLevel="2" x14ac:dyDescent="0.3">
      <c r="A32" s="2" t="s">
        <v>81</v>
      </c>
      <c r="B32" s="2">
        <v>14</v>
      </c>
      <c r="C32" s="2">
        <v>20</v>
      </c>
      <c r="D32" s="2">
        <v>180</v>
      </c>
    </row>
    <row r="33" spans="1:4" outlineLevel="2" x14ac:dyDescent="0.3">
      <c r="A33" s="2" t="s">
        <v>81</v>
      </c>
      <c r="B33" s="2">
        <v>12</v>
      </c>
      <c r="C33" s="2">
        <v>60</v>
      </c>
      <c r="D33" s="2">
        <v>50</v>
      </c>
    </row>
    <row r="34" spans="1:4" outlineLevel="2" x14ac:dyDescent="0.3">
      <c r="A34" s="2" t="s">
        <v>81</v>
      </c>
      <c r="B34" s="2">
        <v>10</v>
      </c>
      <c r="C34" s="2">
        <v>180</v>
      </c>
      <c r="D34" s="2">
        <v>120</v>
      </c>
    </row>
    <row r="35" spans="1:4" outlineLevel="2" x14ac:dyDescent="0.3">
      <c r="A35" s="2" t="s">
        <v>81</v>
      </c>
      <c r="B35" s="2">
        <v>8</v>
      </c>
      <c r="C35" s="2">
        <v>50</v>
      </c>
      <c r="D35" s="2">
        <v>180</v>
      </c>
    </row>
    <row r="36" spans="1:4" outlineLevel="2" x14ac:dyDescent="0.3">
      <c r="A36" s="2" t="s">
        <v>81</v>
      </c>
      <c r="B36" s="2">
        <v>6</v>
      </c>
      <c r="C36" s="2">
        <v>100</v>
      </c>
      <c r="D36" s="2">
        <v>50</v>
      </c>
    </row>
    <row r="37" spans="1:4" outlineLevel="1" x14ac:dyDescent="0.3">
      <c r="A37" s="4" t="s">
        <v>89</v>
      </c>
      <c r="B37" s="2">
        <f>SUBTOTAL(9,B29:B36)</f>
        <v>62</v>
      </c>
      <c r="C37" s="2">
        <f>SUBTOTAL(9,C29:C36)</f>
        <v>740</v>
      </c>
      <c r="D37" s="2">
        <f>SUBTOTAL(9,D29:D36)</f>
        <v>930</v>
      </c>
    </row>
    <row r="38" spans="1:4" outlineLevel="2" x14ac:dyDescent="0.3">
      <c r="A38" s="2" t="s">
        <v>80</v>
      </c>
      <c r="B38" s="2">
        <v>4</v>
      </c>
      <c r="C38" s="2">
        <v>90</v>
      </c>
      <c r="D38" s="2">
        <v>90</v>
      </c>
    </row>
    <row r="39" spans="1:4" outlineLevel="2" x14ac:dyDescent="0.3">
      <c r="A39" s="2" t="s">
        <v>80</v>
      </c>
      <c r="B39" s="2">
        <v>2</v>
      </c>
      <c r="C39" s="2">
        <v>40</v>
      </c>
      <c r="D39" s="2">
        <v>40</v>
      </c>
    </row>
    <row r="40" spans="1:4" outlineLevel="2" x14ac:dyDescent="0.3">
      <c r="A40" s="2" t="s">
        <v>80</v>
      </c>
      <c r="B40" s="2">
        <v>14</v>
      </c>
      <c r="C40" s="2">
        <v>90</v>
      </c>
      <c r="D40" s="2">
        <v>100</v>
      </c>
    </row>
    <row r="41" spans="1:4" outlineLevel="2" x14ac:dyDescent="0.3">
      <c r="A41" s="2" t="s">
        <v>80</v>
      </c>
      <c r="B41" s="2">
        <v>12</v>
      </c>
      <c r="C41" s="2">
        <v>24</v>
      </c>
      <c r="D41" s="2">
        <v>90</v>
      </c>
    </row>
    <row r="42" spans="1:4" outlineLevel="2" x14ac:dyDescent="0.3">
      <c r="A42" s="2" t="s">
        <v>80</v>
      </c>
      <c r="B42" s="2">
        <v>10</v>
      </c>
      <c r="C42" s="2">
        <v>120</v>
      </c>
      <c r="D42" s="2">
        <v>40</v>
      </c>
    </row>
    <row r="43" spans="1:4" outlineLevel="2" x14ac:dyDescent="0.3">
      <c r="A43" s="2" t="s">
        <v>80</v>
      </c>
      <c r="B43" s="2">
        <v>8</v>
      </c>
      <c r="C43" s="2">
        <v>90</v>
      </c>
      <c r="D43" s="2">
        <v>100</v>
      </c>
    </row>
    <row r="44" spans="1:4" outlineLevel="2" x14ac:dyDescent="0.3">
      <c r="A44" s="2" t="s">
        <v>80</v>
      </c>
      <c r="B44" s="2">
        <v>6</v>
      </c>
      <c r="C44" s="2">
        <v>40</v>
      </c>
      <c r="D44" s="2">
        <v>90</v>
      </c>
    </row>
    <row r="45" spans="1:4" outlineLevel="2" x14ac:dyDescent="0.3">
      <c r="A45" s="2" t="s">
        <v>80</v>
      </c>
      <c r="B45" s="2">
        <v>4</v>
      </c>
      <c r="C45" s="2">
        <v>90</v>
      </c>
      <c r="D45" s="2">
        <v>40</v>
      </c>
    </row>
    <row r="46" spans="1:4" outlineLevel="1" x14ac:dyDescent="0.3">
      <c r="A46" s="4" t="s">
        <v>90</v>
      </c>
      <c r="B46" s="2">
        <f>SUBTOTAL(9,B38:B45)</f>
        <v>60</v>
      </c>
      <c r="C46" s="2">
        <f>SUBTOTAL(9,C38:C45)</f>
        <v>584</v>
      </c>
      <c r="D46" s="2">
        <f>SUBTOTAL(9,D38:D45)</f>
        <v>590</v>
      </c>
    </row>
    <row r="47" spans="1:4" outlineLevel="2" x14ac:dyDescent="0.3">
      <c r="A47" s="2" t="s">
        <v>85</v>
      </c>
      <c r="B47" s="2">
        <v>14</v>
      </c>
      <c r="C47" s="2">
        <v>50</v>
      </c>
      <c r="D47" s="2">
        <v>90</v>
      </c>
    </row>
    <row r="48" spans="1:4" outlineLevel="1" x14ac:dyDescent="0.3">
      <c r="A48" s="4" t="s">
        <v>91</v>
      </c>
      <c r="B48" s="2">
        <f>SUBTOTAL(9,B47:B47)</f>
        <v>14</v>
      </c>
      <c r="C48" s="2">
        <f>SUBTOTAL(9,C47:C47)</f>
        <v>50</v>
      </c>
      <c r="D48" s="2">
        <f>SUBTOTAL(9,D47:D47)</f>
        <v>90</v>
      </c>
    </row>
    <row r="49" spans="1:4" outlineLevel="2" x14ac:dyDescent="0.3">
      <c r="A49" s="2" t="s">
        <v>79</v>
      </c>
      <c r="B49" s="2">
        <v>2</v>
      </c>
      <c r="C49" s="2">
        <v>20</v>
      </c>
      <c r="D49" s="2">
        <v>20</v>
      </c>
    </row>
    <row r="50" spans="1:4" outlineLevel="2" x14ac:dyDescent="0.3">
      <c r="A50" s="2" t="s">
        <v>79</v>
      </c>
      <c r="B50" s="2">
        <v>14</v>
      </c>
      <c r="C50" s="2">
        <v>60</v>
      </c>
      <c r="D50" s="2">
        <v>60</v>
      </c>
    </row>
    <row r="51" spans="1:4" outlineLevel="2" x14ac:dyDescent="0.3">
      <c r="A51" s="2" t="s">
        <v>79</v>
      </c>
      <c r="B51" s="2">
        <v>12</v>
      </c>
      <c r="C51" s="2">
        <v>180</v>
      </c>
      <c r="D51" s="2">
        <v>90</v>
      </c>
    </row>
    <row r="52" spans="1:4" outlineLevel="2" x14ac:dyDescent="0.3">
      <c r="A52" s="2" t="s">
        <v>79</v>
      </c>
      <c r="B52" s="2">
        <v>10</v>
      </c>
      <c r="C52" s="2">
        <v>50</v>
      </c>
      <c r="D52" s="2">
        <v>20</v>
      </c>
    </row>
    <row r="53" spans="1:4" outlineLevel="2" x14ac:dyDescent="0.3">
      <c r="A53" s="2" t="s">
        <v>79</v>
      </c>
      <c r="B53" s="2">
        <v>8</v>
      </c>
      <c r="C53" s="2">
        <v>100</v>
      </c>
      <c r="D53" s="2">
        <v>60</v>
      </c>
    </row>
    <row r="54" spans="1:4" outlineLevel="2" x14ac:dyDescent="0.3">
      <c r="A54" s="2" t="s">
        <v>79</v>
      </c>
      <c r="B54" s="2">
        <v>6</v>
      </c>
      <c r="C54" s="2">
        <v>20</v>
      </c>
      <c r="D54" s="2">
        <v>90</v>
      </c>
    </row>
    <row r="55" spans="1:4" outlineLevel="2" x14ac:dyDescent="0.3">
      <c r="A55" s="2" t="s">
        <v>79</v>
      </c>
      <c r="B55" s="2">
        <v>4</v>
      </c>
      <c r="C55" s="2">
        <v>60</v>
      </c>
      <c r="D55" s="2">
        <v>20</v>
      </c>
    </row>
    <row r="56" spans="1:4" outlineLevel="2" x14ac:dyDescent="0.3">
      <c r="A56" s="2" t="s">
        <v>79</v>
      </c>
      <c r="B56" s="2">
        <v>2</v>
      </c>
      <c r="C56" s="2">
        <v>180</v>
      </c>
      <c r="D56" s="2">
        <v>60</v>
      </c>
    </row>
    <row r="57" spans="1:4" outlineLevel="1" x14ac:dyDescent="0.3">
      <c r="A57" s="4" t="s">
        <v>92</v>
      </c>
      <c r="B57" s="2">
        <f>SUBTOTAL(9,B49:B56)</f>
        <v>58</v>
      </c>
      <c r="C57" s="2">
        <f>SUBTOTAL(9,C49:C56)</f>
        <v>670</v>
      </c>
      <c r="D57" s="2">
        <f>SUBTOTAL(9,D49:D56)</f>
        <v>420</v>
      </c>
    </row>
    <row r="58" spans="1:4" x14ac:dyDescent="0.3">
      <c r="A58" s="4" t="s">
        <v>47</v>
      </c>
      <c r="B58" s="2">
        <f>SUBTOTAL(9,B2:B56)</f>
        <v>392</v>
      </c>
      <c r="C58" s="2">
        <f>SUBTOTAL(9,C2:C56)</f>
        <v>3846</v>
      </c>
      <c r="D58" s="2">
        <f>SUBTOTAL(9,D2:D56)</f>
        <v>4130</v>
      </c>
    </row>
  </sheetData>
  <sortState xmlns:xlrd2="http://schemas.microsoft.com/office/spreadsheetml/2017/richdata2" ref="A2:D56">
    <sortCondition ref="A9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Warehouse</vt:lpstr>
      <vt:lpstr>Warehouse2</vt:lpstr>
      <vt:lpstr>Warehouse3</vt:lpstr>
      <vt:lpstr>Marks Grouping&amp; S Practice</vt:lpstr>
      <vt:lpstr>Marks Grouping&amp; S Practice2</vt:lpstr>
      <vt:lpstr>Marks Grouping&amp; S Practice3</vt:lpstr>
      <vt:lpstr>WarehousePractice</vt:lpstr>
      <vt:lpstr>WarehousePractice2</vt:lpstr>
      <vt:lpstr>WarehousePractice3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2024-09-19T06:20:35Z</dcterms:created>
  <dcterms:modified xsi:type="dcterms:W3CDTF">2024-12-08T07:23:23Z</dcterms:modified>
</cp:coreProperties>
</file>