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vivek-data-analysis\Basic-Advanced-Excel\"/>
    </mc:Choice>
  </mc:AlternateContent>
  <xr:revisionPtr revIDLastSave="0" documentId="13_ncr:1_{0EE31A1A-49E1-48A8-AD64-7A57908536D6}" xr6:coauthVersionLast="47" xr6:coauthVersionMax="47" xr10:uidLastSave="{00000000-0000-0000-0000-000000000000}"/>
  <bookViews>
    <workbookView xWindow="-120" yWindow="-120" windowWidth="29040" windowHeight="15840" xr2:uid="{9ADE6A34-5F1E-4817-A4F7-B1DA3754D482}"/>
  </bookViews>
  <sheets>
    <sheet name="Sheet1" sheetId="1" r:id="rId1"/>
    <sheet name="index-match-prac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2" l="1"/>
  <c r="M9" i="2"/>
  <c r="L12" i="2" a="1"/>
  <c r="L12" i="2" s="1"/>
  <c r="K12" i="2" a="1"/>
  <c r="K12" i="2" s="1"/>
  <c r="K10" i="2"/>
  <c r="K9" i="2"/>
  <c r="K4" i="2"/>
  <c r="K7" i="2" s="1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N12" i="1" a="1"/>
  <c r="N12" i="1" s="1"/>
  <c r="O11" i="1"/>
  <c r="O10" i="1"/>
  <c r="N4" i="1"/>
  <c r="N7" i="1" s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N6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<sst xmlns="http://schemas.openxmlformats.org/spreadsheetml/2006/main" count="256" uniqueCount="51">
  <si>
    <t>Row ID</t>
  </si>
  <si>
    <t>Order ID</t>
  </si>
  <si>
    <t>Year</t>
  </si>
  <si>
    <t>Order Date</t>
  </si>
  <si>
    <t>Ship Date</t>
  </si>
  <si>
    <t>Ship Mode</t>
  </si>
  <si>
    <t>Customer ID</t>
  </si>
  <si>
    <t>Customer Name</t>
  </si>
  <si>
    <t>Segment</t>
  </si>
  <si>
    <t>CA-2013-152156</t>
  </si>
  <si>
    <t>Second Class</t>
  </si>
  <si>
    <t>CG-12520</t>
  </si>
  <si>
    <t>Claire Gute</t>
  </si>
  <si>
    <t>Consumer</t>
  </si>
  <si>
    <t>CA-2013-138688</t>
  </si>
  <si>
    <t>DV-13045</t>
  </si>
  <si>
    <t>Darrin Van Huff</t>
  </si>
  <si>
    <t>Corporate</t>
  </si>
  <si>
    <t>US-2012-108966</t>
  </si>
  <si>
    <t>Standard Class</t>
  </si>
  <si>
    <t>SO-20335</t>
  </si>
  <si>
    <t>Sean O'Donnell</t>
  </si>
  <si>
    <t>CA-2011-115812</t>
  </si>
  <si>
    <t>BH-11710</t>
  </si>
  <si>
    <t>Brosina Hoffman</t>
  </si>
  <si>
    <t>CA-2014-114412</t>
  </si>
  <si>
    <t>AA-10480</t>
  </si>
  <si>
    <t>Andrew Allen</t>
  </si>
  <si>
    <t>CA-2013-161389</t>
  </si>
  <si>
    <t>IM-15070</t>
  </si>
  <si>
    <t>Irene Maddox</t>
  </si>
  <si>
    <t>US-2012-118983</t>
  </si>
  <si>
    <t>HP-14815</t>
  </si>
  <si>
    <t>Harold Pawlan</t>
  </si>
  <si>
    <t>Home Office</t>
  </si>
  <si>
    <t>CA-2011-105893</t>
  </si>
  <si>
    <t>PK-19075</t>
  </si>
  <si>
    <t>Pete Kriz</t>
  </si>
  <si>
    <t>CA-2011-167164</t>
  </si>
  <si>
    <t>AG-10270</t>
  </si>
  <si>
    <t>Alejandro Grove</t>
  </si>
  <si>
    <t>CA-2011-143336</t>
  </si>
  <si>
    <t>ZD-21925</t>
  </si>
  <si>
    <t>Zuschuss Donatelli</t>
  </si>
  <si>
    <t>CA-2013-137330</t>
  </si>
  <si>
    <t>KB-16585</t>
  </si>
  <si>
    <t>Ken Black</t>
  </si>
  <si>
    <t>INDEX</t>
  </si>
  <si>
    <t>MATCH</t>
  </si>
  <si>
    <t>NOTE</t>
  </si>
  <si>
    <t>MATCH ME AT A TIME EK HI COLUMN YA TOH ROW SELECT HOTI HAI INDEX ME DONO SATH ME SELECT HOTE HAI ROW AND COLUMN.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</si>
</sst>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pankaj-power-bi\data\Ecommerce%20Sales%20Analysis.xlsx" TargetMode="External"/><Relationship Id="rId1" Type="http://schemas.openxmlformats.org/officeDocument/2006/relationships/externalLinkPath" Target="/pankaj-power-bi/data/Ecommerce%20Sales%20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</sheetNames>
    <sheetDataSet>
      <sheetData sheetId="0">
        <row r="2">
          <cell r="D2">
            <v>41587</v>
          </cell>
        </row>
        <row r="3">
          <cell r="D3">
            <v>41587</v>
          </cell>
        </row>
        <row r="4">
          <cell r="D4">
            <v>41438</v>
          </cell>
        </row>
        <row r="5">
          <cell r="D5">
            <v>41193</v>
          </cell>
        </row>
        <row r="6">
          <cell r="D6">
            <v>41193</v>
          </cell>
        </row>
        <row r="7">
          <cell r="D7">
            <v>40703</v>
          </cell>
        </row>
        <row r="8">
          <cell r="D8">
            <v>40703</v>
          </cell>
        </row>
        <row r="9">
          <cell r="D9">
            <v>40703</v>
          </cell>
        </row>
        <row r="10">
          <cell r="D10">
            <v>40703</v>
          </cell>
        </row>
        <row r="11">
          <cell r="D11">
            <v>40703</v>
          </cell>
        </row>
        <row r="12">
          <cell r="D12">
            <v>40703</v>
          </cell>
        </row>
        <row r="13">
          <cell r="D13">
            <v>40703</v>
          </cell>
        </row>
        <row r="14">
          <cell r="D14">
            <v>41745</v>
          </cell>
        </row>
        <row r="15">
          <cell r="D15">
            <v>41614</v>
          </cell>
        </row>
        <row r="16">
          <cell r="D16">
            <v>41235</v>
          </cell>
        </row>
        <row r="17">
          <cell r="D17">
            <v>41235</v>
          </cell>
        </row>
        <row r="18">
          <cell r="D18">
            <v>40858</v>
          </cell>
        </row>
        <row r="19">
          <cell r="D19">
            <v>40676</v>
          </cell>
        </row>
        <row r="20">
          <cell r="D20">
            <v>40782</v>
          </cell>
        </row>
        <row r="21">
          <cell r="D21">
            <v>40782</v>
          </cell>
        </row>
        <row r="22">
          <cell r="D22">
            <v>40782</v>
          </cell>
        </row>
        <row r="23">
          <cell r="D23">
            <v>41618</v>
          </cell>
        </row>
        <row r="24">
          <cell r="D24">
            <v>41618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BF17C-DD99-4F15-B275-97B59EA84BF7}">
  <dimension ref="A1:O24"/>
  <sheetViews>
    <sheetView tabSelected="1" workbookViewId="0">
      <selection activeCell="O11" sqref="O11"/>
    </sheetView>
  </sheetViews>
  <sheetFormatPr defaultRowHeight="15" x14ac:dyDescent="0.25"/>
  <cols>
    <col min="1" max="1" width="7.5703125" bestFit="1" customWidth="1"/>
    <col min="2" max="2" width="14.85546875" bestFit="1" customWidth="1"/>
    <col min="3" max="3" width="5.140625" bestFit="1" customWidth="1"/>
    <col min="4" max="4" width="11.28515625" bestFit="1" customWidth="1"/>
    <col min="5" max="5" width="10.42578125" bestFit="1" customWidth="1"/>
    <col min="6" max="6" width="14.42578125" bestFit="1" customWidth="1"/>
    <col min="7" max="7" width="12.42578125" bestFit="1" customWidth="1"/>
    <col min="8" max="8" width="18.140625" bestFit="1" customWidth="1"/>
    <col min="9" max="9" width="11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5" x14ac:dyDescent="0.25">
      <c r="A2">
        <v>1</v>
      </c>
      <c r="B2" t="s">
        <v>9</v>
      </c>
      <c r="C2">
        <f>YEAR([1]Data!$D2)</f>
        <v>2013</v>
      </c>
      <c r="D2">
        <v>41587</v>
      </c>
      <c r="E2">
        <v>41590</v>
      </c>
      <c r="F2" t="s">
        <v>10</v>
      </c>
      <c r="G2" t="s">
        <v>11</v>
      </c>
      <c r="H2" t="s">
        <v>12</v>
      </c>
      <c r="I2" t="s">
        <v>13</v>
      </c>
    </row>
    <row r="3" spans="1:15" x14ac:dyDescent="0.25">
      <c r="A3">
        <v>2</v>
      </c>
      <c r="B3" t="s">
        <v>9</v>
      </c>
      <c r="C3">
        <f>YEAR([1]Data!$D3)</f>
        <v>2013</v>
      </c>
      <c r="D3">
        <v>41587</v>
      </c>
      <c r="E3">
        <v>41590</v>
      </c>
      <c r="F3" t="s">
        <v>10</v>
      </c>
      <c r="G3" t="s">
        <v>11</v>
      </c>
      <c r="H3" t="s">
        <v>12</v>
      </c>
      <c r="I3" t="s">
        <v>13</v>
      </c>
    </row>
    <row r="4" spans="1:15" x14ac:dyDescent="0.25">
      <c r="A4">
        <v>3</v>
      </c>
      <c r="B4" t="s">
        <v>14</v>
      </c>
      <c r="C4">
        <f>YEAR([1]Data!$D4)</f>
        <v>2013</v>
      </c>
      <c r="D4">
        <v>41438</v>
      </c>
      <c r="E4">
        <v>41442</v>
      </c>
      <c r="F4" t="s">
        <v>10</v>
      </c>
      <c r="G4" t="s">
        <v>15</v>
      </c>
      <c r="H4" t="s">
        <v>16</v>
      </c>
      <c r="I4" t="s">
        <v>17</v>
      </c>
      <c r="M4" s="1" t="s">
        <v>47</v>
      </c>
      <c r="N4" t="str">
        <f>INDEX(A1:I24,5,7)</f>
        <v>SO-20335</v>
      </c>
    </row>
    <row r="5" spans="1:15" x14ac:dyDescent="0.25">
      <c r="A5">
        <v>4</v>
      </c>
      <c r="B5" t="s">
        <v>18</v>
      </c>
      <c r="C5">
        <f>YEAR([1]Data!$D5)</f>
        <v>2012</v>
      </c>
      <c r="D5">
        <v>41193</v>
      </c>
      <c r="E5">
        <v>41200</v>
      </c>
      <c r="F5" t="s">
        <v>19</v>
      </c>
      <c r="G5" t="s">
        <v>20</v>
      </c>
      <c r="H5" t="s">
        <v>21</v>
      </c>
      <c r="I5" t="s">
        <v>13</v>
      </c>
    </row>
    <row r="6" spans="1:15" x14ac:dyDescent="0.25">
      <c r="A6">
        <v>5</v>
      </c>
      <c r="B6" t="s">
        <v>18</v>
      </c>
      <c r="C6">
        <f>YEAR([1]Data!$D6)</f>
        <v>2012</v>
      </c>
      <c r="D6">
        <v>41193</v>
      </c>
      <c r="E6">
        <v>41200</v>
      </c>
      <c r="F6" t="s">
        <v>19</v>
      </c>
      <c r="G6" t="s">
        <v>20</v>
      </c>
      <c r="H6" t="s">
        <v>21</v>
      </c>
      <c r="I6" t="s">
        <v>13</v>
      </c>
      <c r="M6" s="1" t="s">
        <v>48</v>
      </c>
      <c r="N6">
        <f>MATCH(N4,G1:G24,0)</f>
        <v>5</v>
      </c>
    </row>
    <row r="7" spans="1:15" x14ac:dyDescent="0.25">
      <c r="A7">
        <v>6</v>
      </c>
      <c r="B7" t="s">
        <v>22</v>
      </c>
      <c r="C7">
        <f>YEAR([1]Data!$D7)</f>
        <v>2011</v>
      </c>
      <c r="D7">
        <v>40703</v>
      </c>
      <c r="E7">
        <v>40708</v>
      </c>
      <c r="F7" t="s">
        <v>19</v>
      </c>
      <c r="G7" t="s">
        <v>23</v>
      </c>
      <c r="H7" t="s">
        <v>24</v>
      </c>
      <c r="I7" t="s">
        <v>13</v>
      </c>
      <c r="N7">
        <f>MATCH(N4,A6:I6,0)</f>
        <v>7</v>
      </c>
    </row>
    <row r="8" spans="1:15" x14ac:dyDescent="0.25">
      <c r="A8">
        <v>7</v>
      </c>
      <c r="B8" t="s">
        <v>22</v>
      </c>
      <c r="C8">
        <f>YEAR([1]Data!$D8)</f>
        <v>2011</v>
      </c>
      <c r="D8">
        <v>40703</v>
      </c>
      <c r="E8">
        <v>40708</v>
      </c>
      <c r="F8" t="s">
        <v>19</v>
      </c>
      <c r="G8" t="s">
        <v>23</v>
      </c>
      <c r="H8" t="s">
        <v>24</v>
      </c>
      <c r="I8" t="s">
        <v>13</v>
      </c>
    </row>
    <row r="9" spans="1:15" x14ac:dyDescent="0.25">
      <c r="A9">
        <v>8</v>
      </c>
      <c r="B9" t="s">
        <v>22</v>
      </c>
      <c r="C9">
        <f>YEAR([1]Data!$D9)</f>
        <v>2011</v>
      </c>
      <c r="D9">
        <v>40703</v>
      </c>
      <c r="E9">
        <v>40708</v>
      </c>
      <c r="F9" t="s">
        <v>19</v>
      </c>
      <c r="G9" t="s">
        <v>23</v>
      </c>
      <c r="H9" t="s">
        <v>24</v>
      </c>
      <c r="I9" t="s">
        <v>13</v>
      </c>
    </row>
    <row r="10" spans="1:15" x14ac:dyDescent="0.25">
      <c r="A10">
        <v>9</v>
      </c>
      <c r="B10" t="s">
        <v>22</v>
      </c>
      <c r="C10">
        <f>YEAR([1]Data!$D10)</f>
        <v>2011</v>
      </c>
      <c r="D10">
        <v>40703</v>
      </c>
      <c r="E10">
        <v>40708</v>
      </c>
      <c r="F10" t="s">
        <v>19</v>
      </c>
      <c r="G10" t="s">
        <v>23</v>
      </c>
      <c r="H10" t="s">
        <v>24</v>
      </c>
      <c r="I10" t="s">
        <v>13</v>
      </c>
      <c r="M10">
        <v>9</v>
      </c>
      <c r="O10">
        <f>MATCH(M10,A1:A24,0)</f>
        <v>10</v>
      </c>
    </row>
    <row r="11" spans="1:15" x14ac:dyDescent="0.25">
      <c r="A11">
        <v>10</v>
      </c>
      <c r="B11" t="s">
        <v>22</v>
      </c>
      <c r="C11">
        <f>YEAR([1]Data!$D11)</f>
        <v>2011</v>
      </c>
      <c r="D11">
        <v>40703</v>
      </c>
      <c r="E11">
        <v>40708</v>
      </c>
      <c r="F11" t="s">
        <v>19</v>
      </c>
      <c r="G11" t="s">
        <v>23</v>
      </c>
      <c r="H11" t="s">
        <v>24</v>
      </c>
      <c r="I11" t="s">
        <v>13</v>
      </c>
      <c r="M11" t="s">
        <v>6</v>
      </c>
      <c r="O11">
        <f>MATCH(M11,A1:I1,0)</f>
        <v>7</v>
      </c>
    </row>
    <row r="12" spans="1:15" x14ac:dyDescent="0.25">
      <c r="A12">
        <v>11</v>
      </c>
      <c r="B12" t="s">
        <v>22</v>
      </c>
      <c r="C12">
        <f>YEAR([1]Data!$D12)</f>
        <v>2011</v>
      </c>
      <c r="D12">
        <v>40703</v>
      </c>
      <c r="E12">
        <v>40708</v>
      </c>
      <c r="F12" t="s">
        <v>19</v>
      </c>
      <c r="G12" t="s">
        <v>23</v>
      </c>
      <c r="H12" t="s">
        <v>24</v>
      </c>
      <c r="I12" t="s">
        <v>13</v>
      </c>
      <c r="N12" t="str" cm="1">
        <f t="array" ref="N12">INDEX(A1:I24,O10,O11)</f>
        <v>BH-11710</v>
      </c>
    </row>
    <row r="13" spans="1:15" x14ac:dyDescent="0.25">
      <c r="A13">
        <v>12</v>
      </c>
      <c r="B13" t="s">
        <v>22</v>
      </c>
      <c r="C13">
        <f>YEAR([1]Data!$D13)</f>
        <v>2011</v>
      </c>
      <c r="D13">
        <v>40703</v>
      </c>
      <c r="E13">
        <v>40708</v>
      </c>
      <c r="F13" t="s">
        <v>19</v>
      </c>
      <c r="G13" t="s">
        <v>23</v>
      </c>
      <c r="H13" t="s">
        <v>24</v>
      </c>
      <c r="I13" t="s">
        <v>13</v>
      </c>
    </row>
    <row r="14" spans="1:15" x14ac:dyDescent="0.25">
      <c r="A14">
        <v>13</v>
      </c>
      <c r="B14" t="s">
        <v>25</v>
      </c>
      <c r="C14">
        <f>YEAR([1]Data!$D14)</f>
        <v>2014</v>
      </c>
      <c r="D14">
        <v>41745</v>
      </c>
      <c r="E14">
        <v>41750</v>
      </c>
      <c r="F14" t="s">
        <v>19</v>
      </c>
      <c r="G14" t="s">
        <v>26</v>
      </c>
      <c r="H14" t="s">
        <v>27</v>
      </c>
      <c r="I14" t="s">
        <v>13</v>
      </c>
    </row>
    <row r="15" spans="1:15" x14ac:dyDescent="0.25">
      <c r="A15">
        <v>14</v>
      </c>
      <c r="B15" t="s">
        <v>28</v>
      </c>
      <c r="C15">
        <f>YEAR([1]Data!$D15)</f>
        <v>2013</v>
      </c>
      <c r="D15">
        <v>41614</v>
      </c>
      <c r="E15">
        <v>41619</v>
      </c>
      <c r="F15" t="s">
        <v>19</v>
      </c>
      <c r="G15" t="s">
        <v>29</v>
      </c>
      <c r="H15" t="s">
        <v>30</v>
      </c>
      <c r="I15" t="s">
        <v>13</v>
      </c>
    </row>
    <row r="16" spans="1:15" x14ac:dyDescent="0.25">
      <c r="A16">
        <v>15</v>
      </c>
      <c r="B16" t="s">
        <v>31</v>
      </c>
      <c r="C16">
        <f>YEAR([1]Data!$D16)</f>
        <v>2012</v>
      </c>
      <c r="D16">
        <v>41235</v>
      </c>
      <c r="E16">
        <v>41239</v>
      </c>
      <c r="F16" t="s">
        <v>19</v>
      </c>
      <c r="G16" t="s">
        <v>32</v>
      </c>
      <c r="H16" t="s">
        <v>33</v>
      </c>
      <c r="I16" t="s">
        <v>34</v>
      </c>
    </row>
    <row r="17" spans="1:9" x14ac:dyDescent="0.25">
      <c r="A17">
        <v>16</v>
      </c>
      <c r="B17" t="s">
        <v>31</v>
      </c>
      <c r="C17">
        <f>YEAR([1]Data!$D17)</f>
        <v>2012</v>
      </c>
      <c r="D17">
        <v>41235</v>
      </c>
      <c r="E17">
        <v>41239</v>
      </c>
      <c r="F17" t="s">
        <v>19</v>
      </c>
      <c r="G17" t="s">
        <v>32</v>
      </c>
      <c r="H17" t="s">
        <v>33</v>
      </c>
      <c r="I17" t="s">
        <v>34</v>
      </c>
    </row>
    <row r="18" spans="1:9" x14ac:dyDescent="0.25">
      <c r="A18">
        <v>17</v>
      </c>
      <c r="B18" t="s">
        <v>35</v>
      </c>
      <c r="C18">
        <f>YEAR([1]Data!$D18)</f>
        <v>2011</v>
      </c>
      <c r="D18">
        <v>40858</v>
      </c>
      <c r="E18">
        <v>40865</v>
      </c>
      <c r="F18" t="s">
        <v>19</v>
      </c>
      <c r="G18" t="s">
        <v>36</v>
      </c>
      <c r="H18" t="s">
        <v>37</v>
      </c>
      <c r="I18" t="s">
        <v>13</v>
      </c>
    </row>
    <row r="19" spans="1:9" x14ac:dyDescent="0.25">
      <c r="A19">
        <v>18</v>
      </c>
      <c r="B19" t="s">
        <v>38</v>
      </c>
      <c r="C19">
        <f>YEAR([1]Data!$D19)</f>
        <v>2011</v>
      </c>
      <c r="D19">
        <v>40676</v>
      </c>
      <c r="E19">
        <v>40678</v>
      </c>
      <c r="F19" t="s">
        <v>10</v>
      </c>
      <c r="G19" t="s">
        <v>39</v>
      </c>
      <c r="H19" t="s">
        <v>40</v>
      </c>
      <c r="I19" t="s">
        <v>13</v>
      </c>
    </row>
    <row r="20" spans="1:9" x14ac:dyDescent="0.25">
      <c r="A20">
        <v>19</v>
      </c>
      <c r="B20" t="s">
        <v>41</v>
      </c>
      <c r="C20">
        <f>YEAR([1]Data!$D20)</f>
        <v>2011</v>
      </c>
      <c r="D20">
        <v>40782</v>
      </c>
      <c r="E20">
        <v>40787</v>
      </c>
      <c r="F20" t="s">
        <v>10</v>
      </c>
      <c r="G20" t="s">
        <v>42</v>
      </c>
      <c r="H20" t="s">
        <v>43</v>
      </c>
      <c r="I20" t="s">
        <v>13</v>
      </c>
    </row>
    <row r="21" spans="1:9" x14ac:dyDescent="0.25">
      <c r="A21">
        <v>20</v>
      </c>
      <c r="B21" t="s">
        <v>41</v>
      </c>
      <c r="C21">
        <f>YEAR([1]Data!$D21)</f>
        <v>2011</v>
      </c>
      <c r="D21">
        <v>40782</v>
      </c>
      <c r="E21">
        <v>40787</v>
      </c>
      <c r="F21" t="s">
        <v>10</v>
      </c>
      <c r="G21" t="s">
        <v>42</v>
      </c>
      <c r="H21" t="s">
        <v>43</v>
      </c>
      <c r="I21" t="s">
        <v>13</v>
      </c>
    </row>
    <row r="22" spans="1:9" x14ac:dyDescent="0.25">
      <c r="A22">
        <v>21</v>
      </c>
      <c r="B22" t="s">
        <v>41</v>
      </c>
      <c r="C22">
        <f>YEAR([1]Data!$D22)</f>
        <v>2011</v>
      </c>
      <c r="D22">
        <v>40782</v>
      </c>
      <c r="E22">
        <v>40787</v>
      </c>
      <c r="F22" t="s">
        <v>10</v>
      </c>
      <c r="G22" t="s">
        <v>42</v>
      </c>
      <c r="H22" t="s">
        <v>43</v>
      </c>
      <c r="I22" t="s">
        <v>13</v>
      </c>
    </row>
    <row r="23" spans="1:9" x14ac:dyDescent="0.25">
      <c r="A23">
        <v>22</v>
      </c>
      <c r="B23" t="s">
        <v>44</v>
      </c>
      <c r="C23">
        <f>YEAR([1]Data!$D23)</f>
        <v>2013</v>
      </c>
      <c r="D23">
        <v>41618</v>
      </c>
      <c r="E23">
        <v>41622</v>
      </c>
      <c r="F23" t="s">
        <v>19</v>
      </c>
      <c r="G23" t="s">
        <v>45</v>
      </c>
      <c r="H23" t="s">
        <v>46</v>
      </c>
      <c r="I23" t="s">
        <v>17</v>
      </c>
    </row>
    <row r="24" spans="1:9" x14ac:dyDescent="0.25">
      <c r="A24">
        <v>23</v>
      </c>
      <c r="B24" t="s">
        <v>44</v>
      </c>
      <c r="C24">
        <f>YEAR([1]Data!$D24)</f>
        <v>2013</v>
      </c>
      <c r="D24">
        <v>41618</v>
      </c>
      <c r="E24">
        <v>41622</v>
      </c>
      <c r="F24" t="s">
        <v>19</v>
      </c>
      <c r="G24" t="s">
        <v>45</v>
      </c>
      <c r="H24" t="s">
        <v>46</v>
      </c>
      <c r="I24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8EC8B-91A8-425D-8B54-8148CD2F70CE}">
  <dimension ref="A1:M24"/>
  <sheetViews>
    <sheetView workbookViewId="0">
      <selection activeCell="K10" sqref="K10"/>
    </sheetView>
  </sheetViews>
  <sheetFormatPr defaultRowHeight="15" x14ac:dyDescent="0.25"/>
  <cols>
    <col min="1" max="9" width="23.28515625" customWidth="1"/>
    <col min="10" max="10" width="12.42578125" customWidth="1"/>
    <col min="11" max="11" width="11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3" x14ac:dyDescent="0.25">
      <c r="A2">
        <v>1</v>
      </c>
      <c r="B2" t="s">
        <v>9</v>
      </c>
      <c r="C2">
        <f>YEAR([1]Data!$D2)</f>
        <v>2013</v>
      </c>
      <c r="D2">
        <v>41587</v>
      </c>
      <c r="E2">
        <v>41590</v>
      </c>
      <c r="F2" t="s">
        <v>10</v>
      </c>
      <c r="G2" t="s">
        <v>11</v>
      </c>
      <c r="H2" t="s">
        <v>12</v>
      </c>
      <c r="I2" t="s">
        <v>13</v>
      </c>
    </row>
    <row r="3" spans="1:13" x14ac:dyDescent="0.25">
      <c r="A3">
        <v>2</v>
      </c>
      <c r="B3" t="s">
        <v>9</v>
      </c>
      <c r="C3">
        <f>YEAR([1]Data!$D3)</f>
        <v>2013</v>
      </c>
      <c r="D3">
        <v>41587</v>
      </c>
      <c r="E3">
        <v>41590</v>
      </c>
      <c r="F3" t="s">
        <v>10</v>
      </c>
      <c r="G3" t="s">
        <v>11</v>
      </c>
      <c r="H3" t="s">
        <v>12</v>
      </c>
      <c r="I3" t="s">
        <v>13</v>
      </c>
    </row>
    <row r="4" spans="1:13" x14ac:dyDescent="0.25">
      <c r="A4">
        <v>3</v>
      </c>
      <c r="B4" t="s">
        <v>14</v>
      </c>
      <c r="C4">
        <f>YEAR([1]Data!$D4)</f>
        <v>2013</v>
      </c>
      <c r="D4">
        <v>41438</v>
      </c>
      <c r="E4">
        <v>41442</v>
      </c>
      <c r="F4" t="s">
        <v>10</v>
      </c>
      <c r="G4" t="s">
        <v>15</v>
      </c>
      <c r="H4" t="s">
        <v>16</v>
      </c>
      <c r="I4" t="s">
        <v>17</v>
      </c>
      <c r="J4" s="1" t="s">
        <v>47</v>
      </c>
      <c r="K4">
        <f>INDEX(A1:I24,6,5)</f>
        <v>41200</v>
      </c>
    </row>
    <row r="5" spans="1:13" x14ac:dyDescent="0.25">
      <c r="A5">
        <v>4</v>
      </c>
      <c r="B5" t="s">
        <v>18</v>
      </c>
      <c r="C5">
        <f>YEAR([1]Data!$D5)</f>
        <v>2012</v>
      </c>
      <c r="D5">
        <v>41193</v>
      </c>
      <c r="E5">
        <v>41200</v>
      </c>
      <c r="F5" t="s">
        <v>19</v>
      </c>
      <c r="G5" t="s">
        <v>20</v>
      </c>
      <c r="H5" t="s">
        <v>21</v>
      </c>
      <c r="I5" t="s">
        <v>13</v>
      </c>
    </row>
    <row r="6" spans="1:13" x14ac:dyDescent="0.25">
      <c r="A6">
        <v>5</v>
      </c>
      <c r="B6" t="s">
        <v>18</v>
      </c>
      <c r="C6">
        <f>YEAR([1]Data!$D6)</f>
        <v>2012</v>
      </c>
      <c r="D6">
        <v>41193</v>
      </c>
      <c r="E6">
        <v>41200</v>
      </c>
      <c r="F6" t="s">
        <v>19</v>
      </c>
      <c r="G6" t="s">
        <v>20</v>
      </c>
      <c r="H6" t="s">
        <v>21</v>
      </c>
      <c r="I6" t="s">
        <v>13</v>
      </c>
    </row>
    <row r="7" spans="1:13" x14ac:dyDescent="0.25">
      <c r="A7">
        <v>6</v>
      </c>
      <c r="B7" t="s">
        <v>22</v>
      </c>
      <c r="C7">
        <f>YEAR([1]Data!$D7)</f>
        <v>2011</v>
      </c>
      <c r="D7">
        <v>40703</v>
      </c>
      <c r="E7">
        <v>40708</v>
      </c>
      <c r="F7" t="s">
        <v>19</v>
      </c>
      <c r="G7" t="s">
        <v>23</v>
      </c>
      <c r="H7" t="s">
        <v>24</v>
      </c>
      <c r="I7" t="s">
        <v>13</v>
      </c>
      <c r="J7" s="1" t="s">
        <v>48</v>
      </c>
      <c r="K7">
        <f>MATCH(K4,E1:E24,0)</f>
        <v>5</v>
      </c>
    </row>
    <row r="8" spans="1:13" x14ac:dyDescent="0.25">
      <c r="A8">
        <v>7</v>
      </c>
      <c r="B8" t="s">
        <v>22</v>
      </c>
      <c r="C8">
        <f>YEAR([1]Data!$D8)</f>
        <v>2011</v>
      </c>
      <c r="D8">
        <v>40703</v>
      </c>
      <c r="E8">
        <v>40708</v>
      </c>
      <c r="F8" t="s">
        <v>19</v>
      </c>
      <c r="G8" t="s">
        <v>23</v>
      </c>
      <c r="H8" t="s">
        <v>24</v>
      </c>
      <c r="I8" t="s">
        <v>13</v>
      </c>
    </row>
    <row r="9" spans="1:13" x14ac:dyDescent="0.25">
      <c r="A9">
        <v>8</v>
      </c>
      <c r="B9" t="s">
        <v>22</v>
      </c>
      <c r="C9">
        <f>YEAR([1]Data!$D9)</f>
        <v>2011</v>
      </c>
      <c r="D9">
        <v>40703</v>
      </c>
      <c r="E9">
        <v>40708</v>
      </c>
      <c r="F9" t="s">
        <v>19</v>
      </c>
      <c r="G9" t="s">
        <v>23</v>
      </c>
      <c r="H9" t="s">
        <v>24</v>
      </c>
      <c r="I9" t="s">
        <v>13</v>
      </c>
      <c r="J9">
        <v>1</v>
      </c>
      <c r="K9">
        <f>MATCH(J9,A1:A24,0)</f>
        <v>2</v>
      </c>
      <c r="M9">
        <f>MATCH(J9,A1:A24,0)</f>
        <v>2</v>
      </c>
    </row>
    <row r="10" spans="1:13" x14ac:dyDescent="0.25">
      <c r="A10">
        <v>9</v>
      </c>
      <c r="B10" t="s">
        <v>22</v>
      </c>
      <c r="C10">
        <f>YEAR([1]Data!$D10)</f>
        <v>2011</v>
      </c>
      <c r="D10">
        <v>40703</v>
      </c>
      <c r="E10">
        <v>40708</v>
      </c>
      <c r="F10" t="s">
        <v>19</v>
      </c>
      <c r="G10" t="s">
        <v>23</v>
      </c>
      <c r="H10" t="s">
        <v>24</v>
      </c>
      <c r="I10" t="s">
        <v>13</v>
      </c>
      <c r="J10" t="s">
        <v>6</v>
      </c>
      <c r="K10">
        <f>MATCH(J10,A1:I1,0)</f>
        <v>7</v>
      </c>
      <c r="M10">
        <f>MATCH(J10,A1:I1,0)</f>
        <v>7</v>
      </c>
    </row>
    <row r="11" spans="1:13" x14ac:dyDescent="0.25">
      <c r="A11">
        <v>10</v>
      </c>
      <c r="B11" t="s">
        <v>22</v>
      </c>
      <c r="C11">
        <f>YEAR([1]Data!$D11)</f>
        <v>2011</v>
      </c>
      <c r="D11">
        <v>40703</v>
      </c>
      <c r="E11">
        <v>40708</v>
      </c>
      <c r="F11" t="s">
        <v>19</v>
      </c>
      <c r="G11" t="s">
        <v>23</v>
      </c>
      <c r="H11" t="s">
        <v>24</v>
      </c>
      <c r="I11" t="s">
        <v>13</v>
      </c>
    </row>
    <row r="12" spans="1:13" x14ac:dyDescent="0.25">
      <c r="A12">
        <v>11</v>
      </c>
      <c r="B12" t="s">
        <v>22</v>
      </c>
      <c r="C12">
        <f>YEAR([1]Data!$D12)</f>
        <v>2011</v>
      </c>
      <c r="D12">
        <v>40703</v>
      </c>
      <c r="E12">
        <v>40708</v>
      </c>
      <c r="F12" t="s">
        <v>19</v>
      </c>
      <c r="G12" t="s">
        <v>23</v>
      </c>
      <c r="H12" t="s">
        <v>24</v>
      </c>
      <c r="I12" t="s">
        <v>13</v>
      </c>
      <c r="K12" t="str" cm="1">
        <f t="array" ref="K12">INDEX(A1:I24,K9,K10)</f>
        <v>CG-12520</v>
      </c>
      <c r="L12" t="str" cm="1">
        <f t="array" ref="L12">INDEX(A1:I24,K9,K10)</f>
        <v>CG-12520</v>
      </c>
    </row>
    <row r="13" spans="1:13" x14ac:dyDescent="0.25">
      <c r="A13">
        <v>12</v>
      </c>
      <c r="B13" t="s">
        <v>22</v>
      </c>
      <c r="C13">
        <f>YEAR([1]Data!$D13)</f>
        <v>2011</v>
      </c>
      <c r="D13">
        <v>40703</v>
      </c>
      <c r="E13">
        <v>40708</v>
      </c>
      <c r="F13" t="s">
        <v>19</v>
      </c>
      <c r="G13" t="s">
        <v>23</v>
      </c>
      <c r="H13" t="s">
        <v>24</v>
      </c>
      <c r="I13" t="s">
        <v>13</v>
      </c>
    </row>
    <row r="14" spans="1:13" x14ac:dyDescent="0.25">
      <c r="A14">
        <v>13</v>
      </c>
      <c r="B14" t="s">
        <v>25</v>
      </c>
      <c r="C14">
        <f>YEAR([1]Data!$D14)</f>
        <v>2014</v>
      </c>
      <c r="D14">
        <v>41745</v>
      </c>
      <c r="E14">
        <v>41750</v>
      </c>
      <c r="F14" t="s">
        <v>19</v>
      </c>
      <c r="G14" t="s">
        <v>26</v>
      </c>
      <c r="H14" t="s">
        <v>27</v>
      </c>
      <c r="I14" t="s">
        <v>13</v>
      </c>
    </row>
    <row r="15" spans="1:13" x14ac:dyDescent="0.25">
      <c r="A15">
        <v>14</v>
      </c>
      <c r="B15" t="s">
        <v>28</v>
      </c>
      <c r="C15">
        <f>YEAR([1]Data!$D15)</f>
        <v>2013</v>
      </c>
      <c r="D15">
        <v>41614</v>
      </c>
      <c r="E15">
        <v>41619</v>
      </c>
      <c r="F15" t="s">
        <v>19</v>
      </c>
      <c r="G15" t="s">
        <v>29</v>
      </c>
      <c r="H15" t="s">
        <v>30</v>
      </c>
      <c r="I15" t="s">
        <v>13</v>
      </c>
    </row>
    <row r="16" spans="1:13" x14ac:dyDescent="0.25">
      <c r="A16">
        <v>15</v>
      </c>
      <c r="B16" t="s">
        <v>31</v>
      </c>
      <c r="C16">
        <f>YEAR([1]Data!$D16)</f>
        <v>2012</v>
      </c>
      <c r="D16">
        <v>41235</v>
      </c>
      <c r="E16">
        <v>41239</v>
      </c>
      <c r="F16" t="s">
        <v>19</v>
      </c>
      <c r="G16" t="s">
        <v>32</v>
      </c>
      <c r="H16" t="s">
        <v>33</v>
      </c>
      <c r="I16" t="s">
        <v>34</v>
      </c>
    </row>
    <row r="17" spans="1:11" x14ac:dyDescent="0.25">
      <c r="A17">
        <v>16</v>
      </c>
      <c r="B17" t="s">
        <v>31</v>
      </c>
      <c r="C17">
        <f>YEAR([1]Data!$D17)</f>
        <v>2012</v>
      </c>
      <c r="D17">
        <v>41235</v>
      </c>
      <c r="E17">
        <v>41239</v>
      </c>
      <c r="F17" t="s">
        <v>19</v>
      </c>
      <c r="G17" t="s">
        <v>32</v>
      </c>
      <c r="H17" t="s">
        <v>33</v>
      </c>
      <c r="I17" t="s">
        <v>34</v>
      </c>
      <c r="J17" s="1" t="s">
        <v>49</v>
      </c>
      <c r="K17" t="s">
        <v>50</v>
      </c>
    </row>
    <row r="18" spans="1:11" x14ac:dyDescent="0.25">
      <c r="A18">
        <v>17</v>
      </c>
      <c r="B18" t="s">
        <v>35</v>
      </c>
      <c r="C18">
        <f>YEAR([1]Data!$D18)</f>
        <v>2011</v>
      </c>
      <c r="D18">
        <v>40858</v>
      </c>
      <c r="E18">
        <v>40865</v>
      </c>
      <c r="F18" t="s">
        <v>19</v>
      </c>
      <c r="G18" t="s">
        <v>36</v>
      </c>
      <c r="H18" t="s">
        <v>37</v>
      </c>
      <c r="I18" t="s">
        <v>13</v>
      </c>
    </row>
    <row r="19" spans="1:11" x14ac:dyDescent="0.25">
      <c r="A19">
        <v>18</v>
      </c>
      <c r="B19" t="s">
        <v>38</v>
      </c>
      <c r="C19">
        <f>YEAR([1]Data!$D19)</f>
        <v>2011</v>
      </c>
      <c r="D19">
        <v>40676</v>
      </c>
      <c r="E19">
        <v>40678</v>
      </c>
      <c r="F19" t="s">
        <v>10</v>
      </c>
      <c r="G19" t="s">
        <v>39</v>
      </c>
      <c r="H19" t="s">
        <v>40</v>
      </c>
      <c r="I19" t="s">
        <v>13</v>
      </c>
    </row>
    <row r="20" spans="1:11" x14ac:dyDescent="0.25">
      <c r="A20">
        <v>19</v>
      </c>
      <c r="B20" t="s">
        <v>41</v>
      </c>
      <c r="C20">
        <f>YEAR([1]Data!$D20)</f>
        <v>2011</v>
      </c>
      <c r="D20">
        <v>40782</v>
      </c>
      <c r="E20">
        <v>40787</v>
      </c>
      <c r="F20" t="s">
        <v>10</v>
      </c>
      <c r="G20" t="s">
        <v>42</v>
      </c>
      <c r="H20" t="s">
        <v>43</v>
      </c>
      <c r="I20" t="s">
        <v>13</v>
      </c>
    </row>
    <row r="21" spans="1:11" x14ac:dyDescent="0.25">
      <c r="A21">
        <v>20</v>
      </c>
      <c r="B21" t="s">
        <v>41</v>
      </c>
      <c r="C21">
        <f>YEAR([1]Data!$D21)</f>
        <v>2011</v>
      </c>
      <c r="D21">
        <v>40782</v>
      </c>
      <c r="E21">
        <v>40787</v>
      </c>
      <c r="F21" t="s">
        <v>10</v>
      </c>
      <c r="G21" t="s">
        <v>42</v>
      </c>
      <c r="H21" t="s">
        <v>43</v>
      </c>
      <c r="I21" t="s">
        <v>13</v>
      </c>
    </row>
    <row r="22" spans="1:11" x14ac:dyDescent="0.25">
      <c r="A22">
        <v>21</v>
      </c>
      <c r="B22" t="s">
        <v>41</v>
      </c>
      <c r="C22">
        <f>YEAR([1]Data!$D22)</f>
        <v>2011</v>
      </c>
      <c r="D22">
        <v>40782</v>
      </c>
      <c r="E22">
        <v>40787</v>
      </c>
      <c r="F22" t="s">
        <v>10</v>
      </c>
      <c r="G22" t="s">
        <v>42</v>
      </c>
      <c r="H22" t="s">
        <v>43</v>
      </c>
      <c r="I22" t="s">
        <v>13</v>
      </c>
    </row>
    <row r="23" spans="1:11" x14ac:dyDescent="0.25">
      <c r="A23">
        <v>22</v>
      </c>
      <c r="B23" t="s">
        <v>44</v>
      </c>
      <c r="C23">
        <f>YEAR([1]Data!$D23)</f>
        <v>2013</v>
      </c>
      <c r="D23">
        <v>41618</v>
      </c>
      <c r="E23">
        <v>41622</v>
      </c>
      <c r="F23" t="s">
        <v>19</v>
      </c>
      <c r="G23" t="s">
        <v>45</v>
      </c>
      <c r="H23" t="s">
        <v>46</v>
      </c>
      <c r="I23" t="s">
        <v>17</v>
      </c>
    </row>
    <row r="24" spans="1:11" x14ac:dyDescent="0.25">
      <c r="A24">
        <v>23</v>
      </c>
      <c r="B24" t="s">
        <v>44</v>
      </c>
      <c r="C24">
        <f>YEAR([1]Data!$D24)</f>
        <v>2013</v>
      </c>
      <c r="D24">
        <v>41618</v>
      </c>
      <c r="E24">
        <v>41622</v>
      </c>
      <c r="F24" t="s">
        <v>19</v>
      </c>
      <c r="G24" t="s">
        <v>45</v>
      </c>
      <c r="H24" t="s">
        <v>46</v>
      </c>
      <c r="I2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index-match-prac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QSK1184</dc:creator>
  <cp:lastModifiedBy>QSK1184</cp:lastModifiedBy>
  <dcterms:created xsi:type="dcterms:W3CDTF">2024-10-08T06:37:44Z</dcterms:created>
  <dcterms:modified xsi:type="dcterms:W3CDTF">2024-10-10T06:33:45Z</dcterms:modified>
</cp:coreProperties>
</file>