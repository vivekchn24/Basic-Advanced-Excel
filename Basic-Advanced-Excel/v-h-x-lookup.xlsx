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vek-data-analysis\"/>
    </mc:Choice>
  </mc:AlternateContent>
  <xr:revisionPtr revIDLastSave="0" documentId="13_ncr:1_{67088B4F-1333-443A-8267-CD81F96B1F86}" xr6:coauthVersionLast="47" xr6:coauthVersionMax="47" xr10:uidLastSave="{00000000-0000-0000-0000-000000000000}"/>
  <bookViews>
    <workbookView xWindow="-120" yWindow="-120" windowWidth="29040" windowHeight="15840" activeTab="2" xr2:uid="{EE8810B9-B771-4FF2-916E-28B12F1F911D}"/>
  </bookViews>
  <sheets>
    <sheet name="data" sheetId="1" r:id="rId1"/>
    <sheet name="Sheet2" sheetId="2" r:id="rId2"/>
    <sheet name="Sheet3" sheetId="3" r:id="rId3"/>
  </sheets>
  <definedNames>
    <definedName name="data">data!$A$1:$K$121</definedName>
    <definedName name="hdata">Sheet3!$A$15:$F$17</definedName>
    <definedName name="id">data!$A:$A</definedName>
    <definedName name="newdata">data!$B$1:$K$121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E2" i="2"/>
  <c r="B22" i="3"/>
  <c r="B3" i="2"/>
  <c r="C2" i="2"/>
  <c r="G11" i="3"/>
  <c r="G10" i="3"/>
  <c r="B2" i="2"/>
  <c r="D2" i="2"/>
</calcChain>
</file>

<file path=xl/sharedStrings.xml><?xml version="1.0" encoding="utf-8"?>
<sst xmlns="http://schemas.openxmlformats.org/spreadsheetml/2006/main" count="753" uniqueCount="387">
  <si>
    <t>ProductID</t>
  </si>
  <si>
    <t>ProductName</t>
  </si>
  <si>
    <t>Brand</t>
  </si>
  <si>
    <t>Category</t>
  </si>
  <si>
    <t>Weight</t>
  </si>
  <si>
    <t>Dimensions</t>
  </si>
  <si>
    <t>Material</t>
  </si>
  <si>
    <t>Color</t>
  </si>
  <si>
    <t>Rating</t>
  </si>
  <si>
    <t>NumReviews</t>
  </si>
  <si>
    <t>Price</t>
  </si>
  <si>
    <t>Laptop</t>
  </si>
  <si>
    <t>XYZ Corp</t>
  </si>
  <si>
    <t>Laptops</t>
  </si>
  <si>
    <t>13x9x0.7</t>
  </si>
  <si>
    <t>Aluminum</t>
  </si>
  <si>
    <t>Silver</t>
  </si>
  <si>
    <t>Smartphone</t>
  </si>
  <si>
    <t>ABC Inc</t>
  </si>
  <si>
    <t>Mobile Phones</t>
  </si>
  <si>
    <t>5.7x2.8x0.3</t>
  </si>
  <si>
    <t>Glass</t>
  </si>
  <si>
    <t>Black</t>
  </si>
  <si>
    <t>Headphones</t>
  </si>
  <si>
    <t>SoundWave</t>
  </si>
  <si>
    <t>Electronics</t>
  </si>
  <si>
    <t>8x7x2</t>
  </si>
  <si>
    <t>Plastic</t>
  </si>
  <si>
    <t>White</t>
  </si>
  <si>
    <t>Smartwatch</t>
  </si>
  <si>
    <t>TechGuru</t>
  </si>
  <si>
    <t>Wearable Tech</t>
  </si>
  <si>
    <t>1.5x1.5x0.4</t>
  </si>
  <si>
    <t>Bluetooth Speaker</t>
  </si>
  <si>
    <t>AudioKing</t>
  </si>
  <si>
    <t>Audio Devices</t>
  </si>
  <si>
    <t>7x7x3</t>
  </si>
  <si>
    <t>Metal</t>
  </si>
  <si>
    <t>Red</t>
  </si>
  <si>
    <t>Gaming Console</t>
  </si>
  <si>
    <t>GameTech</t>
  </si>
  <si>
    <t>Video Games</t>
  </si>
  <si>
    <t>15x10x2</t>
  </si>
  <si>
    <t>Tablet</t>
  </si>
  <si>
    <t>TabCo</t>
  </si>
  <si>
    <t>Tablets</t>
  </si>
  <si>
    <t>9x6x0.3</t>
  </si>
  <si>
    <t>Blue</t>
  </si>
  <si>
    <t>Camera</t>
  </si>
  <si>
    <t>CamCo</t>
  </si>
  <si>
    <t>Photography</t>
  </si>
  <si>
    <t>4x3x2</t>
  </si>
  <si>
    <t>Drone</t>
  </si>
  <si>
    <t>SkyHigh</t>
  </si>
  <si>
    <t>12x12x4</t>
  </si>
  <si>
    <t>Fitness Tracker</t>
  </si>
  <si>
    <t>FitLife</t>
  </si>
  <si>
    <t>Fitness &amp; Health</t>
  </si>
  <si>
    <t>2x2x0.5</t>
  </si>
  <si>
    <t>Green</t>
  </si>
  <si>
    <t>Wireless Mouse</t>
  </si>
  <si>
    <t>TechMice</t>
  </si>
  <si>
    <t>Computer Accessories</t>
  </si>
  <si>
    <t>3x2x1</t>
  </si>
  <si>
    <t>External Hard Drive</t>
  </si>
  <si>
    <t>DataVault</t>
  </si>
  <si>
    <t>5x3x0.5</t>
  </si>
  <si>
    <t>Desk Lamp</t>
  </si>
  <si>
    <t>LightWorks</t>
  </si>
  <si>
    <t>Home &amp; Office</t>
  </si>
  <si>
    <t>10x5x5</t>
  </si>
  <si>
    <t>Electric Kettle</t>
  </si>
  <si>
    <t>HotStream</t>
  </si>
  <si>
    <t>Kitchen Appliances</t>
  </si>
  <si>
    <t>8x6x8</t>
  </si>
  <si>
    <t>Stainless Steel</t>
  </si>
  <si>
    <t>Portable Charger</t>
  </si>
  <si>
    <t>PowerUp</t>
  </si>
  <si>
    <t>Mobile Accessories</t>
  </si>
  <si>
    <t>4x2x1</t>
  </si>
  <si>
    <t>Wireless Earbuds</t>
  </si>
  <si>
    <t>SonicBlast</t>
  </si>
  <si>
    <t>2x2x1</t>
  </si>
  <si>
    <t>Power Bank</t>
  </si>
  <si>
    <t>ChargePro</t>
  </si>
  <si>
    <t>3x2x0.5</t>
  </si>
  <si>
    <t>Car Phone Holder</t>
  </si>
  <si>
    <t>AutoGrip</t>
  </si>
  <si>
    <t>Car Accessories</t>
  </si>
  <si>
    <t>5x3x2</t>
  </si>
  <si>
    <t>Portable Bluetooth Speaker</t>
  </si>
  <si>
    <t>6x4x3</t>
  </si>
  <si>
    <t>Wireless Charging Pad</t>
  </si>
  <si>
    <t>ChargeX</t>
  </si>
  <si>
    <t>4x4x0.5</t>
  </si>
  <si>
    <t>Smart Thermostat</t>
  </si>
  <si>
    <t>SmartHome</t>
  </si>
  <si>
    <t>Home Appliances</t>
  </si>
  <si>
    <t>3x3x1</t>
  </si>
  <si>
    <t>Robot Vacuum</t>
  </si>
  <si>
    <t>CleanBot</t>
  </si>
  <si>
    <t>12x12x3</t>
  </si>
  <si>
    <t>Electric Toothbrush</t>
  </si>
  <si>
    <t>OralTech</t>
  </si>
  <si>
    <t>Personal Care</t>
  </si>
  <si>
    <t>8x1x1</t>
  </si>
  <si>
    <t>Wireless Keyboard</t>
  </si>
  <si>
    <t>KeyTech</t>
  </si>
  <si>
    <t>12x6x1</t>
  </si>
  <si>
    <t>Smart Doorbell</t>
  </si>
  <si>
    <t>SecureTech</t>
  </si>
  <si>
    <t>Home Security</t>
  </si>
  <si>
    <t>5x2x1</t>
  </si>
  <si>
    <t>Portable Blender</t>
  </si>
  <si>
    <t>BlendMaster</t>
  </si>
  <si>
    <t>6x4x4</t>
  </si>
  <si>
    <t>Wireless Security Camera</t>
  </si>
  <si>
    <t>SecureCam</t>
  </si>
  <si>
    <t>4x3x3</t>
  </si>
  <si>
    <t>Folding Electric Scooter</t>
  </si>
  <si>
    <t>EcoRide</t>
  </si>
  <si>
    <t>Outdoor &amp; Sports</t>
  </si>
  <si>
    <t>40x20x10</t>
  </si>
  <si>
    <t>Smart Scale</t>
  </si>
  <si>
    <t>12x12x1</t>
  </si>
  <si>
    <t>Electric Shaver</t>
  </si>
  <si>
    <t>SmoothTech</t>
  </si>
  <si>
    <t>5x2x2</t>
  </si>
  <si>
    <t>Coffee Maker</t>
  </si>
  <si>
    <t>CafÃ©Tech</t>
  </si>
  <si>
    <t>10x8x12</t>
  </si>
  <si>
    <t>Gaming Mouse</t>
  </si>
  <si>
    <t>GamerGear</t>
  </si>
  <si>
    <t>RGB</t>
  </si>
  <si>
    <t>Smart Light Bulb</t>
  </si>
  <si>
    <t>SmartGlow</t>
  </si>
  <si>
    <t>2x2x4</t>
  </si>
  <si>
    <t>Bluetooth Car Kit</t>
  </si>
  <si>
    <t>CarConnect</t>
  </si>
  <si>
    <t>4x3x1</t>
  </si>
  <si>
    <t>Wireless Presenter</t>
  </si>
  <si>
    <t>PresentationPro</t>
  </si>
  <si>
    <t>Office Supplies</t>
  </si>
  <si>
    <t>4x1x1</t>
  </si>
  <si>
    <t>Noise Cancelling Headphones</t>
  </si>
  <si>
    <t>SoundBlast</t>
  </si>
  <si>
    <t>Portable Monitor</t>
  </si>
  <si>
    <t>ScreenFlex</t>
  </si>
  <si>
    <t>12x8x1</t>
  </si>
  <si>
    <t>Smart Plug</t>
  </si>
  <si>
    <t>PlugSmart</t>
  </si>
  <si>
    <t>Home Automation</t>
  </si>
  <si>
    <t>2x2x2</t>
  </si>
  <si>
    <t>Smart Glasses</t>
  </si>
  <si>
    <t>SmartEyes</t>
  </si>
  <si>
    <t>6x2x2</t>
  </si>
  <si>
    <t>Desk Organizer</t>
  </si>
  <si>
    <t>OrganizeIt</t>
  </si>
  <si>
    <t>8x4x4</t>
  </si>
  <si>
    <t>Smart Alarm Clock</t>
  </si>
  <si>
    <t>SmartRise</t>
  </si>
  <si>
    <t>4x4x2</t>
  </si>
  <si>
    <t>Wireless Charging Stand</t>
  </si>
  <si>
    <t>4x4x3</t>
  </si>
  <si>
    <t>Bluetooth FM Transmitter</t>
  </si>
  <si>
    <t>CarTune</t>
  </si>
  <si>
    <t>Electric Scooter</t>
  </si>
  <si>
    <t>Smart Home Hub</t>
  </si>
  <si>
    <t>HomeConnect</t>
  </si>
  <si>
    <t>4x4x1</t>
  </si>
  <si>
    <t>Smart Mirror</t>
  </si>
  <si>
    <t>SmartView</t>
  </si>
  <si>
    <t>24x16x1</t>
  </si>
  <si>
    <t>Wireless Charging Car Mount</t>
  </si>
  <si>
    <t>DriveCharge</t>
  </si>
  <si>
    <t>5x4x2</t>
  </si>
  <si>
    <t>Smart Door Lock</t>
  </si>
  <si>
    <t>SecureLock</t>
  </si>
  <si>
    <t>6x3x1</t>
  </si>
  <si>
    <t>Fitness Smartwatch</t>
  </si>
  <si>
    <t>FitPro</t>
  </si>
  <si>
    <t>Bluetooth Earphones</t>
  </si>
  <si>
    <t>AudioBlast</t>
  </si>
  <si>
    <t>Smart LED Strip Lights</t>
  </si>
  <si>
    <t>10x1x0.5</t>
  </si>
  <si>
    <t>Portable Espresso Machine</t>
  </si>
  <si>
    <t>CafÃ©OnTheGo</t>
  </si>
  <si>
    <t>7x3x3</t>
  </si>
  <si>
    <t>Wireless Charging Mouse Pad</t>
  </si>
  <si>
    <t>10x8x0.5</t>
  </si>
  <si>
    <t>Electric Skateboard</t>
  </si>
  <si>
    <t>SkateTech</t>
  </si>
  <si>
    <t>36x9x5</t>
  </si>
  <si>
    <t>Wood</t>
  </si>
  <si>
    <t>Smart Wi-Fi Plug</t>
  </si>
  <si>
    <t>Bluetooth Beanie</t>
  </si>
  <si>
    <t>SoundWarmth</t>
  </si>
  <si>
    <t>Apparel &amp; Accessories</t>
  </si>
  <si>
    <t>10x8x1</t>
  </si>
  <si>
    <t>Fabric</t>
  </si>
  <si>
    <t>Smart Bike Lock</t>
  </si>
  <si>
    <t>SecureRide</t>
  </si>
  <si>
    <t>5x3x1</t>
  </si>
  <si>
    <t>Portable UV Sanitizer</t>
  </si>
  <si>
    <t>UVSafe</t>
  </si>
  <si>
    <t>8x4x2</t>
  </si>
  <si>
    <t>Wireless Charging Desk Lamp</t>
  </si>
  <si>
    <t>LightCharge</t>
  </si>
  <si>
    <t>6x6x12</t>
  </si>
  <si>
    <t>Smart Water Bottle</t>
  </si>
  <si>
    <t>HydroSmart</t>
  </si>
  <si>
    <t>Health &amp; Wellness</t>
  </si>
  <si>
    <t>3x3x10</t>
  </si>
  <si>
    <t>Bluetooth Shower Speaker</t>
  </si>
  <si>
    <t>ShowerTunes</t>
  </si>
  <si>
    <t>Smart Garden</t>
  </si>
  <si>
    <t>GreenThumb</t>
  </si>
  <si>
    <t>Home &amp; Garden</t>
  </si>
  <si>
    <t>12x12x12</t>
  </si>
  <si>
    <t>Wireless Charging Pad with Organizer</t>
  </si>
  <si>
    <t>ChargePlus</t>
  </si>
  <si>
    <t>8x6x1</t>
  </si>
  <si>
    <t>Smart Backpack</t>
  </si>
  <si>
    <t>SmartPack</t>
  </si>
  <si>
    <t>Travel &amp; Luggage</t>
  </si>
  <si>
    <t>18x12x6</t>
  </si>
  <si>
    <t>Nylon</t>
  </si>
  <si>
    <t>Portable Ice Maker</t>
  </si>
  <si>
    <t>IceMaster</t>
  </si>
  <si>
    <t>10x12x15</t>
  </si>
  <si>
    <t>Smart Pet Feeder</t>
  </si>
  <si>
    <t>PetSmart</t>
  </si>
  <si>
    <t>Pet Supplies</t>
  </si>
  <si>
    <t>8x8x12</t>
  </si>
  <si>
    <t>Wireless Charging Mouse</t>
  </si>
  <si>
    <t>ChargeMouse</t>
  </si>
  <si>
    <t>Smart Umbrella</t>
  </si>
  <si>
    <t>WeatherSmart</t>
  </si>
  <si>
    <t>10x10x1</t>
  </si>
  <si>
    <t>Bluetooth BBQ Thermometer</t>
  </si>
  <si>
    <t>GrillMaster</t>
  </si>
  <si>
    <t>6x2x1</t>
  </si>
  <si>
    <t>Smart Wallet</t>
  </si>
  <si>
    <t>SecureWallet</t>
  </si>
  <si>
    <t>4x3x0.5</t>
  </si>
  <si>
    <t>Leather</t>
  </si>
  <si>
    <t>Wireless Charging Desk Organizer</t>
  </si>
  <si>
    <t>ChargeDesk</t>
  </si>
  <si>
    <t>12x6x4</t>
  </si>
  <si>
    <t>Smart Watering System</t>
  </si>
  <si>
    <t>8x8x10</t>
  </si>
  <si>
    <t>Bluetooth Remote Control</t>
  </si>
  <si>
    <t>RemotePro</t>
  </si>
  <si>
    <t>Wireless Charging Bedside Lamp</t>
  </si>
  <si>
    <t>ChargeLight</t>
  </si>
  <si>
    <t>5x5x10</t>
  </si>
  <si>
    <t>Smart Skipping Rope</t>
  </si>
  <si>
    <t>FitnessSmart</t>
  </si>
  <si>
    <t>10x1x1</t>
  </si>
  <si>
    <t>Portable Clothes Steamer</t>
  </si>
  <si>
    <t>SteamPro</t>
  </si>
  <si>
    <t>8x6x4</t>
  </si>
  <si>
    <t>Wireless Charging Car Mount with Auto-Clamp</t>
  </si>
  <si>
    <t>AutoCharge</t>
  </si>
  <si>
    <t>6x4x2</t>
  </si>
  <si>
    <t>Smart Bicycle Helmet</t>
  </si>
  <si>
    <t>HelmetSmart</t>
  </si>
  <si>
    <t>10x8x6</t>
  </si>
  <si>
    <t>Bluetooth Car Locator</t>
  </si>
  <si>
    <t>CarFinder</t>
  </si>
  <si>
    <t>Smart Posture Corrector</t>
  </si>
  <si>
    <t>PostureSmart</t>
  </si>
  <si>
    <t>6x4x1</t>
  </si>
  <si>
    <t>Smart Wi-Fi Thermostat</t>
  </si>
  <si>
    <t>TempControl</t>
  </si>
  <si>
    <t>Wireless Charging Alarm Clock</t>
  </si>
  <si>
    <t>ChargeAlarm</t>
  </si>
  <si>
    <t>Smart Water Leak Detector</t>
  </si>
  <si>
    <t>LeakGuard</t>
  </si>
  <si>
    <t>Bluetooth Meat Thermometer</t>
  </si>
  <si>
    <t>Smart Sleep Mask</t>
  </si>
  <si>
    <t>SleepWell</t>
  </si>
  <si>
    <t>8x4x1</t>
  </si>
  <si>
    <t>Wireless Charging Nightstand</t>
  </si>
  <si>
    <t>ChargeNight</t>
  </si>
  <si>
    <t>16x16x20</t>
  </si>
  <si>
    <t>Smart Kitchen Scale</t>
  </si>
  <si>
    <t>KitchenPro</t>
  </si>
  <si>
    <t>Portable Air Purifier</t>
  </si>
  <si>
    <t>AirPure</t>
  </si>
  <si>
    <t>6x6x10</t>
  </si>
  <si>
    <t>Bluetooth Smart Lock</t>
  </si>
  <si>
    <t>Wireless Charging Coaster</t>
  </si>
  <si>
    <t>ChargeCoast</t>
  </si>
  <si>
    <t>Smart Notebook</t>
  </si>
  <si>
    <t>NoteSmart</t>
  </si>
  <si>
    <t>8x6x0.5</t>
  </si>
  <si>
    <t>Paper</t>
  </si>
  <si>
    <t>Wireless Charging Mouse Pad with Wrist Rest</t>
  </si>
  <si>
    <t>ChargePad</t>
  </si>
  <si>
    <t>Foam</t>
  </si>
  <si>
    <t>Smart Diffuser</t>
  </si>
  <si>
    <t>AromaSmart</t>
  </si>
  <si>
    <t>6x6x8</t>
  </si>
  <si>
    <t>Bluetooth Sleep Headphones</t>
  </si>
  <si>
    <t>SleepTunes</t>
  </si>
  <si>
    <t>10x8x2</t>
  </si>
  <si>
    <t>Smart Air Fryer</t>
  </si>
  <si>
    <t>AirChef</t>
  </si>
  <si>
    <t>12x10x10</t>
  </si>
  <si>
    <t>Wireless Charging Desk Organizer with Lamp</t>
  </si>
  <si>
    <t>Smart Light Switch</t>
  </si>
  <si>
    <t>SwitchSmart</t>
  </si>
  <si>
    <t>Wireless Charging Valet Tray</t>
  </si>
  <si>
    <t>ChargeValet</t>
  </si>
  <si>
    <t>8x6x2</t>
  </si>
  <si>
    <t>Bluetooth Wine Opener</t>
  </si>
  <si>
    <t>WineMaster</t>
  </si>
  <si>
    <t>2x2x8</t>
  </si>
  <si>
    <t>Smart Garbage Can</t>
  </si>
  <si>
    <t>SmartBin</t>
  </si>
  <si>
    <t>12x12x24</t>
  </si>
  <si>
    <t>Wireless Charging Bedside Table</t>
  </si>
  <si>
    <t>ChargeTable</t>
  </si>
  <si>
    <t>20x16x20</t>
  </si>
  <si>
    <t>Brown</t>
  </si>
  <si>
    <t>Smart Plant Pot</t>
  </si>
  <si>
    <t>Gardening &amp; Lawn Care</t>
  </si>
  <si>
    <t>6x6x6</t>
  </si>
  <si>
    <t>Bluetooth Picture Frame</t>
  </si>
  <si>
    <t>FrameMe</t>
  </si>
  <si>
    <t>Home Decor</t>
  </si>
  <si>
    <t>Smart Dog Collar</t>
  </si>
  <si>
    <t>PetTech</t>
  </si>
  <si>
    <t>8x1x0.5</t>
  </si>
  <si>
    <t>Wireless Charging Desk Lamp with Speaker</t>
  </si>
  <si>
    <t>ChargeLamp</t>
  </si>
  <si>
    <t>10x8x16</t>
  </si>
  <si>
    <t>Smart Remote Control</t>
  </si>
  <si>
    <t>RemoteSmart</t>
  </si>
  <si>
    <t>Wireless Charging Desk Fan</t>
  </si>
  <si>
    <t>ChargeFan</t>
  </si>
  <si>
    <t>Smart Dog Feeder</t>
  </si>
  <si>
    <t>PetFeeder</t>
  </si>
  <si>
    <t>12x12x8</t>
  </si>
  <si>
    <t>Bluetooth Smart Bulb</t>
  </si>
  <si>
    <t>BulbSmart</t>
  </si>
  <si>
    <t>Wireless Charging Wall Clock</t>
  </si>
  <si>
    <t>ChargeClock</t>
  </si>
  <si>
    <t>Smart Sun Hat</t>
  </si>
  <si>
    <t>SunSmart</t>
  </si>
  <si>
    <t>12x10x6</t>
  </si>
  <si>
    <t>Beige</t>
  </si>
  <si>
    <t>Wireless Charging Desk Clock</t>
  </si>
  <si>
    <t>Bluetooth Water Bottle</t>
  </si>
  <si>
    <t>HydroTech</t>
  </si>
  <si>
    <t>Smart Cutting Board</t>
  </si>
  <si>
    <t>KitchenSmart</t>
  </si>
  <si>
    <t>Kitchen Accessories</t>
  </si>
  <si>
    <t>Wireless Charging Makeup Mirror</t>
  </si>
  <si>
    <t>ChargeMirror</t>
  </si>
  <si>
    <t>10x6x16</t>
  </si>
  <si>
    <t>Smart Luggage Tag</t>
  </si>
  <si>
    <t>TagSmart</t>
  </si>
  <si>
    <t>4x2x0.2</t>
  </si>
  <si>
    <t>Bluetooth Baby Monitor</t>
  </si>
  <si>
    <t>BabyMonitor</t>
  </si>
  <si>
    <t>Parenting &amp; Baby Care</t>
  </si>
  <si>
    <t>Wireless Charging Coaster Set</t>
  </si>
  <si>
    <t>ChargeSet</t>
  </si>
  <si>
    <t>6x6x0.5</t>
  </si>
  <si>
    <t>Smart Bike Light</t>
  </si>
  <si>
    <t>BikeSmart</t>
  </si>
  <si>
    <t>Cycling Accessories</t>
  </si>
  <si>
    <t>Bluetooth Travel Speaker</t>
  </si>
  <si>
    <t>TravelTunes</t>
  </si>
  <si>
    <t>sales</t>
  </si>
  <si>
    <t>comm</t>
  </si>
  <si>
    <t>id</t>
  </si>
  <si>
    <t>name</t>
  </si>
  <si>
    <t>price</t>
  </si>
  <si>
    <t>a</t>
  </si>
  <si>
    <t>b</t>
  </si>
  <si>
    <t>c</t>
  </si>
  <si>
    <t>d</t>
  </si>
  <si>
    <t>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</si>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</sst>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FD4F-79EA-4607-B7DA-2CB068BFF968}">
  <dimension ref="A1:K121"/>
  <sheetViews>
    <sheetView topLeftCell="A53" zoomScale="130" zoomScaleNormal="130" workbookViewId="0">
      <selection activeCell="L105" sqref="L105"/>
    </sheetView>
  </sheetViews>
  <sheetFormatPr defaultRowHeight="15" x14ac:dyDescent="0.25"/>
  <cols>
    <col min="1" max="11" width="17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11</v>
      </c>
      <c r="C2" s="1" t="s">
        <v>12</v>
      </c>
      <c r="D2" s="1" t="s">
        <v>13</v>
      </c>
      <c r="E2" s="1">
        <v>2.5</v>
      </c>
      <c r="F2" s="1" t="s">
        <v>14</v>
      </c>
      <c r="G2" s="1" t="s">
        <v>15</v>
      </c>
      <c r="H2" s="1" t="s">
        <v>16</v>
      </c>
      <c r="I2" s="1">
        <v>4.5</v>
      </c>
      <c r="J2" s="1">
        <v>120</v>
      </c>
      <c r="K2" s="1">
        <v>1200</v>
      </c>
    </row>
    <row r="3" spans="1:11" x14ac:dyDescent="0.25">
      <c r="A3" s="1">
        <v>2</v>
      </c>
      <c r="B3" s="1" t="s">
        <v>17</v>
      </c>
      <c r="C3" s="1" t="s">
        <v>18</v>
      </c>
      <c r="D3" s="1" t="s">
        <v>19</v>
      </c>
      <c r="E3" s="1">
        <v>0.2</v>
      </c>
      <c r="F3" s="1" t="s">
        <v>20</v>
      </c>
      <c r="G3" s="1" t="s">
        <v>21</v>
      </c>
      <c r="H3" s="1" t="s">
        <v>22</v>
      </c>
      <c r="I3" s="1">
        <v>4.8</v>
      </c>
      <c r="J3" s="1">
        <v>300</v>
      </c>
      <c r="K3" s="1">
        <v>800</v>
      </c>
    </row>
    <row r="4" spans="1:11" x14ac:dyDescent="0.25">
      <c r="A4" s="1">
        <v>3</v>
      </c>
      <c r="B4" s="1" t="s">
        <v>23</v>
      </c>
      <c r="C4" s="1" t="s">
        <v>24</v>
      </c>
      <c r="D4" s="1" t="s">
        <v>25</v>
      </c>
      <c r="E4" s="1">
        <v>0.4</v>
      </c>
      <c r="F4" s="1" t="s">
        <v>26</v>
      </c>
      <c r="G4" s="1" t="s">
        <v>27</v>
      </c>
      <c r="H4" s="1" t="s">
        <v>28</v>
      </c>
      <c r="I4" s="1">
        <v>4.3</v>
      </c>
      <c r="J4" s="1">
        <v>80</v>
      </c>
      <c r="K4" s="1">
        <v>100</v>
      </c>
    </row>
    <row r="5" spans="1:11" x14ac:dyDescent="0.25">
      <c r="A5" s="1">
        <v>4</v>
      </c>
      <c r="B5" s="1" t="s">
        <v>29</v>
      </c>
      <c r="C5" s="1" t="s">
        <v>30</v>
      </c>
      <c r="D5" s="1" t="s">
        <v>31</v>
      </c>
      <c r="E5" s="1">
        <v>0.1</v>
      </c>
      <c r="F5" s="1" t="s">
        <v>32</v>
      </c>
      <c r="G5" s="1" t="s">
        <v>27</v>
      </c>
      <c r="H5" s="1" t="s">
        <v>22</v>
      </c>
      <c r="I5" s="1">
        <v>4.5999999999999996</v>
      </c>
      <c r="J5" s="1">
        <v>150</v>
      </c>
      <c r="K5" s="1">
        <v>250</v>
      </c>
    </row>
    <row r="6" spans="1:11" x14ac:dyDescent="0.25">
      <c r="A6" s="1">
        <v>5</v>
      </c>
      <c r="B6" s="1" t="s">
        <v>33</v>
      </c>
      <c r="C6" s="1" t="s">
        <v>34</v>
      </c>
      <c r="D6" s="1" t="s">
        <v>35</v>
      </c>
      <c r="E6" s="1">
        <v>1</v>
      </c>
      <c r="F6" s="1" t="s">
        <v>36</v>
      </c>
      <c r="G6" s="1" t="s">
        <v>37</v>
      </c>
      <c r="H6" s="1" t="s">
        <v>38</v>
      </c>
      <c r="I6" s="1">
        <v>4.2</v>
      </c>
      <c r="J6" s="1">
        <v>50</v>
      </c>
      <c r="K6" s="1">
        <v>80</v>
      </c>
    </row>
    <row r="7" spans="1:11" x14ac:dyDescent="0.25">
      <c r="A7" s="1">
        <v>6</v>
      </c>
      <c r="B7" s="1" t="s">
        <v>39</v>
      </c>
      <c r="C7" s="1" t="s">
        <v>40</v>
      </c>
      <c r="D7" s="1" t="s">
        <v>41</v>
      </c>
      <c r="E7" s="1">
        <v>3</v>
      </c>
      <c r="F7" s="1" t="s">
        <v>42</v>
      </c>
      <c r="G7" s="1" t="s">
        <v>27</v>
      </c>
      <c r="H7" s="1" t="s">
        <v>22</v>
      </c>
      <c r="I7" s="1">
        <v>4.7</v>
      </c>
      <c r="J7" s="1">
        <v>200</v>
      </c>
      <c r="K7" s="1">
        <v>400</v>
      </c>
    </row>
    <row r="8" spans="1:11" x14ac:dyDescent="0.25">
      <c r="A8" s="1">
        <v>7</v>
      </c>
      <c r="B8" s="1" t="s">
        <v>43</v>
      </c>
      <c r="C8" s="1" t="s">
        <v>44</v>
      </c>
      <c r="D8" s="1" t="s">
        <v>45</v>
      </c>
      <c r="E8" s="1">
        <v>0.5</v>
      </c>
      <c r="F8" s="1" t="s">
        <v>46</v>
      </c>
      <c r="G8" s="1" t="s">
        <v>27</v>
      </c>
      <c r="H8" s="1" t="s">
        <v>47</v>
      </c>
      <c r="I8" s="1">
        <v>4.4000000000000004</v>
      </c>
      <c r="J8" s="1">
        <v>100</v>
      </c>
      <c r="K8" s="1">
        <v>300</v>
      </c>
    </row>
    <row r="9" spans="1:11" x14ac:dyDescent="0.25">
      <c r="A9" s="1">
        <v>8</v>
      </c>
      <c r="B9" s="1" t="s">
        <v>48</v>
      </c>
      <c r="C9" s="1" t="s">
        <v>49</v>
      </c>
      <c r="D9" s="1" t="s">
        <v>50</v>
      </c>
      <c r="E9" s="1">
        <v>0.8</v>
      </c>
      <c r="F9" s="1" t="s">
        <v>51</v>
      </c>
      <c r="G9" s="1" t="s">
        <v>37</v>
      </c>
      <c r="H9" s="1" t="s">
        <v>22</v>
      </c>
      <c r="I9" s="1">
        <v>4.9000000000000004</v>
      </c>
      <c r="J9" s="1">
        <v>150</v>
      </c>
      <c r="K9" s="1">
        <v>600</v>
      </c>
    </row>
    <row r="10" spans="1:11" x14ac:dyDescent="0.25">
      <c r="A10" s="1">
        <v>9</v>
      </c>
      <c r="B10" s="1" t="s">
        <v>52</v>
      </c>
      <c r="C10" s="1" t="s">
        <v>53</v>
      </c>
      <c r="D10" s="1" t="s">
        <v>50</v>
      </c>
      <c r="E10" s="1">
        <v>1.5</v>
      </c>
      <c r="F10" s="1" t="s">
        <v>54</v>
      </c>
      <c r="G10" s="1" t="s">
        <v>27</v>
      </c>
      <c r="H10" s="1" t="s">
        <v>28</v>
      </c>
      <c r="I10" s="1">
        <v>4.5999999999999996</v>
      </c>
      <c r="J10" s="1">
        <v>80</v>
      </c>
      <c r="K10" s="1">
        <v>700</v>
      </c>
    </row>
    <row r="11" spans="1:11" x14ac:dyDescent="0.25">
      <c r="A11" s="1">
        <v>10</v>
      </c>
      <c r="B11" s="1" t="s">
        <v>55</v>
      </c>
      <c r="C11" s="1" t="s">
        <v>56</v>
      </c>
      <c r="D11" s="1" t="s">
        <v>57</v>
      </c>
      <c r="E11" s="1">
        <v>0.1</v>
      </c>
      <c r="F11" s="1" t="s">
        <v>58</v>
      </c>
      <c r="G11" s="1" t="s">
        <v>27</v>
      </c>
      <c r="H11" s="1" t="s">
        <v>59</v>
      </c>
      <c r="I11" s="1">
        <v>4.5</v>
      </c>
      <c r="J11" s="1">
        <v>60</v>
      </c>
      <c r="K11" s="1">
        <v>150</v>
      </c>
    </row>
    <row r="12" spans="1:11" x14ac:dyDescent="0.25">
      <c r="A12" s="1">
        <v>11</v>
      </c>
      <c r="B12" s="1" t="s">
        <v>60</v>
      </c>
      <c r="C12" s="1" t="s">
        <v>61</v>
      </c>
      <c r="D12" s="1" t="s">
        <v>62</v>
      </c>
      <c r="E12" s="1">
        <v>0.1</v>
      </c>
      <c r="F12" s="1" t="s">
        <v>63</v>
      </c>
      <c r="G12" s="1" t="s">
        <v>27</v>
      </c>
      <c r="H12" s="1" t="s">
        <v>22</v>
      </c>
      <c r="I12" s="1">
        <v>4.3</v>
      </c>
      <c r="J12" s="1">
        <v>50</v>
      </c>
      <c r="K12" s="1">
        <v>20</v>
      </c>
    </row>
    <row r="13" spans="1:11" x14ac:dyDescent="0.25">
      <c r="A13" s="1">
        <v>12</v>
      </c>
      <c r="B13" s="1" t="s">
        <v>64</v>
      </c>
      <c r="C13" s="1" t="s">
        <v>65</v>
      </c>
      <c r="D13" s="1" t="s">
        <v>62</v>
      </c>
      <c r="E13" s="1">
        <v>0.3</v>
      </c>
      <c r="F13" s="1" t="s">
        <v>66</v>
      </c>
      <c r="G13" s="1" t="s">
        <v>37</v>
      </c>
      <c r="H13" s="1" t="s">
        <v>16</v>
      </c>
      <c r="I13" s="1">
        <v>4.5999999999999996</v>
      </c>
      <c r="J13" s="1">
        <v>100</v>
      </c>
      <c r="K13" s="1">
        <v>80</v>
      </c>
    </row>
    <row r="14" spans="1:11" x14ac:dyDescent="0.25">
      <c r="A14" s="1">
        <v>13</v>
      </c>
      <c r="B14" s="1" t="s">
        <v>67</v>
      </c>
      <c r="C14" s="1" t="s">
        <v>68</v>
      </c>
      <c r="D14" s="1" t="s">
        <v>69</v>
      </c>
      <c r="E14" s="1">
        <v>0.5</v>
      </c>
      <c r="F14" s="1" t="s">
        <v>70</v>
      </c>
      <c r="G14" s="1" t="s">
        <v>37</v>
      </c>
      <c r="H14" s="1" t="s">
        <v>28</v>
      </c>
      <c r="I14" s="1">
        <v>4.2</v>
      </c>
      <c r="J14" s="1">
        <v>30</v>
      </c>
      <c r="K14" s="1">
        <v>40</v>
      </c>
    </row>
    <row r="15" spans="1:11" x14ac:dyDescent="0.25">
      <c r="A15" s="1">
        <v>14</v>
      </c>
      <c r="B15" s="1" t="s">
        <v>71</v>
      </c>
      <c r="C15" s="1" t="s">
        <v>72</v>
      </c>
      <c r="D15" s="1" t="s">
        <v>73</v>
      </c>
      <c r="E15" s="1">
        <v>1</v>
      </c>
      <c r="F15" s="1" t="s">
        <v>74</v>
      </c>
      <c r="G15" s="1" t="s">
        <v>75</v>
      </c>
      <c r="H15" s="1" t="s">
        <v>22</v>
      </c>
      <c r="I15" s="1">
        <v>4.5</v>
      </c>
      <c r="J15" s="1">
        <v>70</v>
      </c>
      <c r="K15" s="1">
        <v>30</v>
      </c>
    </row>
    <row r="16" spans="1:11" x14ac:dyDescent="0.25">
      <c r="A16" s="1">
        <v>15</v>
      </c>
      <c r="B16" s="1" t="s">
        <v>76</v>
      </c>
      <c r="C16" s="1" t="s">
        <v>77</v>
      </c>
      <c r="D16" s="1" t="s">
        <v>78</v>
      </c>
      <c r="E16" s="1">
        <v>0.2</v>
      </c>
      <c r="F16" s="1" t="s">
        <v>79</v>
      </c>
      <c r="G16" s="1" t="s">
        <v>27</v>
      </c>
      <c r="H16" s="1" t="s">
        <v>47</v>
      </c>
      <c r="I16" s="1">
        <v>4.0999999999999996</v>
      </c>
      <c r="J16" s="1">
        <v>40</v>
      </c>
      <c r="K16" s="1">
        <v>15</v>
      </c>
    </row>
    <row r="17" spans="1:11" x14ac:dyDescent="0.25">
      <c r="A17" s="1">
        <v>16</v>
      </c>
      <c r="B17" s="1" t="s">
        <v>80</v>
      </c>
      <c r="C17" s="1" t="s">
        <v>81</v>
      </c>
      <c r="D17" s="1" t="s">
        <v>35</v>
      </c>
      <c r="E17" s="1">
        <v>0.05</v>
      </c>
      <c r="F17" s="1" t="s">
        <v>82</v>
      </c>
      <c r="G17" s="1" t="s">
        <v>27</v>
      </c>
      <c r="H17" s="1" t="s">
        <v>28</v>
      </c>
      <c r="I17" s="1">
        <v>4.7</v>
      </c>
      <c r="J17" s="1">
        <v>200</v>
      </c>
      <c r="K17" s="1">
        <v>100</v>
      </c>
    </row>
    <row r="18" spans="1:11" x14ac:dyDescent="0.25">
      <c r="A18" s="1">
        <v>17</v>
      </c>
      <c r="B18" s="1" t="s">
        <v>83</v>
      </c>
      <c r="C18" s="1" t="s">
        <v>84</v>
      </c>
      <c r="D18" s="1" t="s">
        <v>78</v>
      </c>
      <c r="E18" s="1">
        <v>0.15</v>
      </c>
      <c r="F18" s="1" t="s">
        <v>85</v>
      </c>
      <c r="G18" s="1" t="s">
        <v>27</v>
      </c>
      <c r="H18" s="1" t="s">
        <v>22</v>
      </c>
      <c r="I18" s="1">
        <v>4.4000000000000004</v>
      </c>
      <c r="J18" s="1">
        <v>150</v>
      </c>
      <c r="K18" s="1">
        <v>25</v>
      </c>
    </row>
    <row r="19" spans="1:11" x14ac:dyDescent="0.25">
      <c r="A19" s="1">
        <v>18</v>
      </c>
      <c r="B19" s="1" t="s">
        <v>86</v>
      </c>
      <c r="C19" s="1" t="s">
        <v>87</v>
      </c>
      <c r="D19" s="1" t="s">
        <v>88</v>
      </c>
      <c r="E19" s="1">
        <v>0.1</v>
      </c>
      <c r="F19" s="1" t="s">
        <v>89</v>
      </c>
      <c r="G19" s="1" t="s">
        <v>27</v>
      </c>
      <c r="H19" s="1" t="s">
        <v>22</v>
      </c>
      <c r="I19" s="1">
        <v>4</v>
      </c>
      <c r="J19" s="1">
        <v>20</v>
      </c>
      <c r="K19" s="1">
        <v>10</v>
      </c>
    </row>
    <row r="20" spans="1:11" x14ac:dyDescent="0.25">
      <c r="A20" s="1">
        <v>19</v>
      </c>
      <c r="B20" s="1" t="s">
        <v>90</v>
      </c>
      <c r="C20" s="1" t="s">
        <v>24</v>
      </c>
      <c r="D20" s="1" t="s">
        <v>35</v>
      </c>
      <c r="E20" s="1">
        <v>0.3</v>
      </c>
      <c r="F20" s="1" t="s">
        <v>91</v>
      </c>
      <c r="G20" s="1" t="s">
        <v>27</v>
      </c>
      <c r="H20" s="1" t="s">
        <v>38</v>
      </c>
      <c r="I20" s="1">
        <v>4.3</v>
      </c>
      <c r="J20" s="1">
        <v>80</v>
      </c>
      <c r="K20" s="1">
        <v>50</v>
      </c>
    </row>
    <row r="21" spans="1:11" x14ac:dyDescent="0.25">
      <c r="A21" s="1">
        <v>20</v>
      </c>
      <c r="B21" s="1" t="s">
        <v>92</v>
      </c>
      <c r="C21" s="1" t="s">
        <v>93</v>
      </c>
      <c r="D21" s="1" t="s">
        <v>78</v>
      </c>
      <c r="E21" s="1">
        <v>0.2</v>
      </c>
      <c r="F21" s="1" t="s">
        <v>94</v>
      </c>
      <c r="G21" s="1" t="s">
        <v>27</v>
      </c>
      <c r="H21" s="1" t="s">
        <v>28</v>
      </c>
      <c r="I21" s="1">
        <v>4.5</v>
      </c>
      <c r="J21" s="1">
        <v>120</v>
      </c>
      <c r="K21" s="1">
        <v>30</v>
      </c>
    </row>
    <row r="22" spans="1:11" x14ac:dyDescent="0.25">
      <c r="A22" s="1">
        <v>21</v>
      </c>
      <c r="B22" s="1" t="s">
        <v>95</v>
      </c>
      <c r="C22" s="1" t="s">
        <v>96</v>
      </c>
      <c r="D22" s="1" t="s">
        <v>97</v>
      </c>
      <c r="E22" s="1">
        <v>0.2</v>
      </c>
      <c r="F22" s="1" t="s">
        <v>98</v>
      </c>
      <c r="G22" s="1" t="s">
        <v>27</v>
      </c>
      <c r="H22" s="1" t="s">
        <v>28</v>
      </c>
      <c r="I22" s="1">
        <v>4.8</v>
      </c>
      <c r="J22" s="1">
        <v>100</v>
      </c>
      <c r="K22" s="1">
        <v>150</v>
      </c>
    </row>
    <row r="23" spans="1:11" x14ac:dyDescent="0.25">
      <c r="A23" s="1">
        <v>22</v>
      </c>
      <c r="B23" s="1" t="s">
        <v>99</v>
      </c>
      <c r="C23" s="1" t="s">
        <v>100</v>
      </c>
      <c r="D23" s="1" t="s">
        <v>97</v>
      </c>
      <c r="E23" s="1">
        <v>2.5</v>
      </c>
      <c r="F23" s="1" t="s">
        <v>101</v>
      </c>
      <c r="G23" s="1" t="s">
        <v>27</v>
      </c>
      <c r="H23" s="1" t="s">
        <v>22</v>
      </c>
      <c r="I23" s="1">
        <v>4.5999999999999996</v>
      </c>
      <c r="J23" s="1">
        <v>200</v>
      </c>
      <c r="K23" s="1">
        <v>300</v>
      </c>
    </row>
    <row r="24" spans="1:11" x14ac:dyDescent="0.25">
      <c r="A24" s="1">
        <v>23</v>
      </c>
      <c r="B24" s="1" t="s">
        <v>102</v>
      </c>
      <c r="C24" s="1" t="s">
        <v>103</v>
      </c>
      <c r="D24" s="1" t="s">
        <v>104</v>
      </c>
      <c r="E24" s="1">
        <v>0.3</v>
      </c>
      <c r="F24" s="1" t="s">
        <v>105</v>
      </c>
      <c r="G24" s="1" t="s">
        <v>27</v>
      </c>
      <c r="H24" s="1" t="s">
        <v>47</v>
      </c>
      <c r="I24" s="1">
        <v>4.7</v>
      </c>
      <c r="J24" s="1">
        <v>80</v>
      </c>
      <c r="K24" s="1">
        <v>50</v>
      </c>
    </row>
    <row r="25" spans="1:11" x14ac:dyDescent="0.25">
      <c r="A25" s="1">
        <v>24</v>
      </c>
      <c r="B25" s="1" t="s">
        <v>106</v>
      </c>
      <c r="C25" s="1" t="s">
        <v>107</v>
      </c>
      <c r="D25" s="1" t="s">
        <v>62</v>
      </c>
      <c r="E25" s="1">
        <v>0.5</v>
      </c>
      <c r="F25" s="1" t="s">
        <v>108</v>
      </c>
      <c r="G25" s="1" t="s">
        <v>27</v>
      </c>
      <c r="H25" s="1" t="s">
        <v>22</v>
      </c>
      <c r="I25" s="1">
        <v>4.4000000000000004</v>
      </c>
      <c r="J25" s="1">
        <v>90</v>
      </c>
      <c r="K25" s="1">
        <v>40</v>
      </c>
    </row>
    <row r="26" spans="1:11" x14ac:dyDescent="0.25">
      <c r="A26" s="1">
        <v>25</v>
      </c>
      <c r="B26" s="1" t="s">
        <v>109</v>
      </c>
      <c r="C26" s="1" t="s">
        <v>110</v>
      </c>
      <c r="D26" s="1" t="s">
        <v>111</v>
      </c>
      <c r="E26" s="1">
        <v>0.3</v>
      </c>
      <c r="F26" s="1" t="s">
        <v>112</v>
      </c>
      <c r="G26" s="1" t="s">
        <v>27</v>
      </c>
      <c r="H26" s="1" t="s">
        <v>16</v>
      </c>
      <c r="I26" s="1">
        <v>4.5</v>
      </c>
      <c r="J26" s="1">
        <v>120</v>
      </c>
      <c r="K26" s="1">
        <v>120</v>
      </c>
    </row>
    <row r="27" spans="1:11" x14ac:dyDescent="0.25">
      <c r="A27" s="1">
        <v>26</v>
      </c>
      <c r="B27" s="1" t="s">
        <v>113</v>
      </c>
      <c r="C27" s="1" t="s">
        <v>114</v>
      </c>
      <c r="D27" s="1" t="s">
        <v>73</v>
      </c>
      <c r="E27" s="1">
        <v>0.8</v>
      </c>
      <c r="F27" s="1" t="s">
        <v>115</v>
      </c>
      <c r="G27" s="1" t="s">
        <v>27</v>
      </c>
      <c r="H27" s="1" t="s">
        <v>59</v>
      </c>
      <c r="I27" s="1">
        <v>4.2</v>
      </c>
      <c r="J27" s="1">
        <v>60</v>
      </c>
      <c r="K27" s="1">
        <v>40</v>
      </c>
    </row>
    <row r="28" spans="1:11" x14ac:dyDescent="0.25">
      <c r="A28" s="1">
        <v>27</v>
      </c>
      <c r="B28" s="1" t="s">
        <v>116</v>
      </c>
      <c r="C28" s="1" t="s">
        <v>117</v>
      </c>
      <c r="D28" s="1" t="s">
        <v>111</v>
      </c>
      <c r="E28" s="1">
        <v>0.4</v>
      </c>
      <c r="F28" s="1" t="s">
        <v>118</v>
      </c>
      <c r="G28" s="1" t="s">
        <v>27</v>
      </c>
      <c r="H28" s="1" t="s">
        <v>28</v>
      </c>
      <c r="I28" s="1">
        <v>4.3</v>
      </c>
      <c r="J28" s="1">
        <v>100</v>
      </c>
      <c r="K28" s="1">
        <v>80</v>
      </c>
    </row>
    <row r="29" spans="1:11" x14ac:dyDescent="0.25">
      <c r="A29" s="1">
        <v>28</v>
      </c>
      <c r="B29" s="1" t="s">
        <v>119</v>
      </c>
      <c r="C29" s="1" t="s">
        <v>120</v>
      </c>
      <c r="D29" s="1" t="s">
        <v>121</v>
      </c>
      <c r="E29" s="1">
        <v>10</v>
      </c>
      <c r="F29" s="1" t="s">
        <v>122</v>
      </c>
      <c r="G29" s="1" t="s">
        <v>15</v>
      </c>
      <c r="H29" s="1" t="s">
        <v>22</v>
      </c>
      <c r="I29" s="1">
        <v>4.5999999999999996</v>
      </c>
      <c r="J29" s="1">
        <v>150</v>
      </c>
      <c r="K29" s="1">
        <v>400</v>
      </c>
    </row>
    <row r="30" spans="1:11" x14ac:dyDescent="0.25">
      <c r="A30" s="1">
        <v>29</v>
      </c>
      <c r="B30" s="1" t="s">
        <v>123</v>
      </c>
      <c r="C30" s="1" t="s">
        <v>56</v>
      </c>
      <c r="D30" s="1" t="s">
        <v>57</v>
      </c>
      <c r="E30" s="1">
        <v>1</v>
      </c>
      <c r="F30" s="1" t="s">
        <v>124</v>
      </c>
      <c r="G30" s="1" t="s">
        <v>21</v>
      </c>
      <c r="H30" s="1" t="s">
        <v>22</v>
      </c>
      <c r="I30" s="1">
        <v>4.8</v>
      </c>
      <c r="J30" s="1">
        <v>200</v>
      </c>
      <c r="K30" s="1">
        <v>70</v>
      </c>
    </row>
    <row r="31" spans="1:11" x14ac:dyDescent="0.25">
      <c r="A31" s="1">
        <v>30</v>
      </c>
      <c r="B31" s="1" t="s">
        <v>125</v>
      </c>
      <c r="C31" s="1" t="s">
        <v>126</v>
      </c>
      <c r="D31" s="1" t="s">
        <v>104</v>
      </c>
      <c r="E31" s="1">
        <v>0.2</v>
      </c>
      <c r="F31" s="1" t="s">
        <v>127</v>
      </c>
      <c r="G31" s="1" t="s">
        <v>27</v>
      </c>
      <c r="H31" s="1" t="s">
        <v>22</v>
      </c>
      <c r="I31" s="1">
        <v>4.5</v>
      </c>
      <c r="J31" s="1">
        <v>100</v>
      </c>
      <c r="K31" s="1">
        <v>60</v>
      </c>
    </row>
    <row r="32" spans="1:11" x14ac:dyDescent="0.25">
      <c r="A32" s="1">
        <v>31</v>
      </c>
      <c r="B32" s="1" t="s">
        <v>128</v>
      </c>
      <c r="C32" s="1" t="s">
        <v>129</v>
      </c>
      <c r="D32" s="1" t="s">
        <v>73</v>
      </c>
      <c r="E32" s="1">
        <v>1.5</v>
      </c>
      <c r="F32" s="1" t="s">
        <v>130</v>
      </c>
      <c r="G32" s="1" t="s">
        <v>75</v>
      </c>
      <c r="H32" s="1" t="s">
        <v>22</v>
      </c>
      <c r="I32" s="1">
        <v>4.4000000000000004</v>
      </c>
      <c r="J32" s="1">
        <v>180</v>
      </c>
      <c r="K32" s="1">
        <v>80</v>
      </c>
    </row>
    <row r="33" spans="1:11" x14ac:dyDescent="0.25">
      <c r="A33" s="1">
        <v>32</v>
      </c>
      <c r="B33" s="1" t="s">
        <v>131</v>
      </c>
      <c r="C33" s="1" t="s">
        <v>132</v>
      </c>
      <c r="D33" s="1" t="s">
        <v>62</v>
      </c>
      <c r="E33" s="1">
        <v>0.15</v>
      </c>
      <c r="F33" s="1" t="s">
        <v>63</v>
      </c>
      <c r="G33" s="1" t="s">
        <v>27</v>
      </c>
      <c r="H33" s="1" t="s">
        <v>133</v>
      </c>
      <c r="I33" s="1">
        <v>4.7</v>
      </c>
      <c r="J33" s="1">
        <v>250</v>
      </c>
      <c r="K33" s="1">
        <v>50</v>
      </c>
    </row>
    <row r="34" spans="1:11" x14ac:dyDescent="0.25">
      <c r="A34" s="1">
        <v>33</v>
      </c>
      <c r="B34" s="1" t="s">
        <v>134</v>
      </c>
      <c r="C34" s="1" t="s">
        <v>135</v>
      </c>
      <c r="D34" s="1" t="s">
        <v>69</v>
      </c>
      <c r="E34" s="1">
        <v>0.1</v>
      </c>
      <c r="F34" s="1" t="s">
        <v>136</v>
      </c>
      <c r="G34" s="1" t="s">
        <v>27</v>
      </c>
      <c r="H34" s="1" t="s">
        <v>28</v>
      </c>
      <c r="I34" s="1">
        <v>4.3</v>
      </c>
      <c r="J34" s="1">
        <v>120</v>
      </c>
      <c r="K34" s="1">
        <v>20</v>
      </c>
    </row>
    <row r="35" spans="1:11" x14ac:dyDescent="0.25">
      <c r="A35" s="1">
        <v>34</v>
      </c>
      <c r="B35" s="1" t="s">
        <v>137</v>
      </c>
      <c r="C35" s="1" t="s">
        <v>138</v>
      </c>
      <c r="D35" s="1" t="s">
        <v>88</v>
      </c>
      <c r="E35" s="1">
        <v>0.1</v>
      </c>
      <c r="F35" s="1" t="s">
        <v>139</v>
      </c>
      <c r="G35" s="1" t="s">
        <v>27</v>
      </c>
      <c r="H35" s="1" t="s">
        <v>22</v>
      </c>
      <c r="I35" s="1">
        <v>4.0999999999999996</v>
      </c>
      <c r="J35" s="1">
        <v>60</v>
      </c>
      <c r="K35" s="1">
        <v>30</v>
      </c>
    </row>
    <row r="36" spans="1:11" x14ac:dyDescent="0.25">
      <c r="A36" s="1">
        <v>35</v>
      </c>
      <c r="B36" s="1" t="s">
        <v>140</v>
      </c>
      <c r="C36" s="1" t="s">
        <v>141</v>
      </c>
      <c r="D36" s="1" t="s">
        <v>142</v>
      </c>
      <c r="E36" s="1">
        <v>0.05</v>
      </c>
      <c r="F36" s="1" t="s">
        <v>143</v>
      </c>
      <c r="G36" s="1" t="s">
        <v>27</v>
      </c>
      <c r="H36" s="1" t="s">
        <v>22</v>
      </c>
      <c r="I36" s="1">
        <v>4.5</v>
      </c>
      <c r="J36" s="1">
        <v>40</v>
      </c>
      <c r="K36" s="1">
        <v>20</v>
      </c>
    </row>
    <row r="37" spans="1:11" x14ac:dyDescent="0.25">
      <c r="A37" s="1">
        <v>36</v>
      </c>
      <c r="B37" s="1" t="s">
        <v>144</v>
      </c>
      <c r="C37" s="1" t="s">
        <v>145</v>
      </c>
      <c r="D37" s="1" t="s">
        <v>35</v>
      </c>
      <c r="E37" s="1">
        <v>0.4</v>
      </c>
      <c r="F37" s="1" t="s">
        <v>26</v>
      </c>
      <c r="G37" s="1" t="s">
        <v>27</v>
      </c>
      <c r="H37" s="1" t="s">
        <v>22</v>
      </c>
      <c r="I37" s="1">
        <v>4.5999999999999996</v>
      </c>
      <c r="J37" s="1">
        <v>180</v>
      </c>
      <c r="K37" s="1">
        <v>100</v>
      </c>
    </row>
    <row r="38" spans="1:11" x14ac:dyDescent="0.25">
      <c r="A38" s="1">
        <v>37</v>
      </c>
      <c r="B38" s="1" t="s">
        <v>146</v>
      </c>
      <c r="C38" s="1" t="s">
        <v>147</v>
      </c>
      <c r="D38" s="1" t="s">
        <v>62</v>
      </c>
      <c r="E38" s="1">
        <v>0.6</v>
      </c>
      <c r="F38" s="1" t="s">
        <v>148</v>
      </c>
      <c r="G38" s="1" t="s">
        <v>27</v>
      </c>
      <c r="H38" s="1" t="s">
        <v>22</v>
      </c>
      <c r="I38" s="1">
        <v>4.2</v>
      </c>
      <c r="J38" s="1">
        <v>70</v>
      </c>
      <c r="K38" s="1">
        <v>150</v>
      </c>
    </row>
    <row r="39" spans="1:11" x14ac:dyDescent="0.25">
      <c r="A39" s="1">
        <v>38</v>
      </c>
      <c r="B39" s="1" t="s">
        <v>149</v>
      </c>
      <c r="C39" s="1" t="s">
        <v>150</v>
      </c>
      <c r="D39" s="1" t="s">
        <v>151</v>
      </c>
      <c r="E39" s="1">
        <v>0.1</v>
      </c>
      <c r="F39" s="1" t="s">
        <v>152</v>
      </c>
      <c r="G39" s="1" t="s">
        <v>27</v>
      </c>
      <c r="H39" s="1" t="s">
        <v>28</v>
      </c>
      <c r="I39" s="1">
        <v>4.4000000000000004</v>
      </c>
      <c r="J39" s="1">
        <v>90</v>
      </c>
      <c r="K39" s="1">
        <v>20</v>
      </c>
    </row>
    <row r="40" spans="1:11" x14ac:dyDescent="0.25">
      <c r="A40" s="1">
        <v>39</v>
      </c>
      <c r="B40" s="1" t="s">
        <v>153</v>
      </c>
      <c r="C40" s="1" t="s">
        <v>154</v>
      </c>
      <c r="D40" s="1" t="s">
        <v>31</v>
      </c>
      <c r="E40" s="1">
        <v>0.1</v>
      </c>
      <c r="F40" s="1" t="s">
        <v>155</v>
      </c>
      <c r="G40" s="1" t="s">
        <v>27</v>
      </c>
      <c r="H40" s="1" t="s">
        <v>22</v>
      </c>
      <c r="I40" s="1">
        <v>4.2</v>
      </c>
      <c r="J40" s="1">
        <v>80</v>
      </c>
      <c r="K40" s="1">
        <v>200</v>
      </c>
    </row>
    <row r="41" spans="1:11" x14ac:dyDescent="0.25">
      <c r="A41" s="1">
        <v>40</v>
      </c>
      <c r="B41" s="1" t="s">
        <v>156</v>
      </c>
      <c r="C41" s="1" t="s">
        <v>157</v>
      </c>
      <c r="D41" s="1" t="s">
        <v>69</v>
      </c>
      <c r="E41" s="1">
        <v>0.3</v>
      </c>
      <c r="F41" s="1" t="s">
        <v>158</v>
      </c>
      <c r="G41" s="1" t="s">
        <v>27</v>
      </c>
      <c r="H41" s="1" t="s">
        <v>28</v>
      </c>
      <c r="I41" s="1">
        <v>4</v>
      </c>
      <c r="J41" s="1">
        <v>30</v>
      </c>
      <c r="K41" s="1">
        <v>15</v>
      </c>
    </row>
    <row r="42" spans="1:11" x14ac:dyDescent="0.25">
      <c r="A42" s="1">
        <v>41</v>
      </c>
      <c r="B42" s="1" t="s">
        <v>159</v>
      </c>
      <c r="C42" s="1" t="s">
        <v>160</v>
      </c>
      <c r="D42" s="1" t="s">
        <v>69</v>
      </c>
      <c r="E42" s="1">
        <v>0.2</v>
      </c>
      <c r="F42" s="1" t="s">
        <v>161</v>
      </c>
      <c r="G42" s="1" t="s">
        <v>27</v>
      </c>
      <c r="H42" s="1" t="s">
        <v>28</v>
      </c>
      <c r="I42" s="1">
        <v>4.5</v>
      </c>
      <c r="J42" s="1">
        <v>100</v>
      </c>
      <c r="K42" s="1">
        <v>25</v>
      </c>
    </row>
    <row r="43" spans="1:11" x14ac:dyDescent="0.25">
      <c r="A43" s="1">
        <v>42</v>
      </c>
      <c r="B43" s="1" t="s">
        <v>162</v>
      </c>
      <c r="C43" s="1" t="s">
        <v>84</v>
      </c>
      <c r="D43" s="1" t="s">
        <v>78</v>
      </c>
      <c r="E43" s="1">
        <v>0.3</v>
      </c>
      <c r="F43" s="1" t="s">
        <v>163</v>
      </c>
      <c r="G43" s="1" t="s">
        <v>27</v>
      </c>
      <c r="H43" s="1" t="s">
        <v>22</v>
      </c>
      <c r="I43" s="1">
        <v>4.3</v>
      </c>
      <c r="J43" s="1">
        <v>80</v>
      </c>
      <c r="K43" s="1">
        <v>30</v>
      </c>
    </row>
    <row r="44" spans="1:11" x14ac:dyDescent="0.25">
      <c r="A44" s="1">
        <v>43</v>
      </c>
      <c r="B44" s="1" t="s">
        <v>164</v>
      </c>
      <c r="C44" s="1" t="s">
        <v>165</v>
      </c>
      <c r="D44" s="1" t="s">
        <v>88</v>
      </c>
      <c r="E44" s="1">
        <v>0.1</v>
      </c>
      <c r="F44" s="1" t="s">
        <v>63</v>
      </c>
      <c r="G44" s="1" t="s">
        <v>27</v>
      </c>
      <c r="H44" s="1" t="s">
        <v>22</v>
      </c>
      <c r="I44" s="1">
        <v>4.2</v>
      </c>
      <c r="J44" s="1">
        <v>60</v>
      </c>
      <c r="K44" s="1">
        <v>20</v>
      </c>
    </row>
    <row r="45" spans="1:11" x14ac:dyDescent="0.25">
      <c r="A45" s="1">
        <v>44</v>
      </c>
      <c r="B45" s="1" t="s">
        <v>166</v>
      </c>
      <c r="C45" s="1" t="s">
        <v>120</v>
      </c>
      <c r="D45" s="1" t="s">
        <v>121</v>
      </c>
      <c r="E45" s="1">
        <v>12</v>
      </c>
      <c r="F45" s="1" t="s">
        <v>122</v>
      </c>
      <c r="G45" s="1" t="s">
        <v>15</v>
      </c>
      <c r="H45" s="1" t="s">
        <v>22</v>
      </c>
      <c r="I45" s="1">
        <v>4.7</v>
      </c>
      <c r="J45" s="1">
        <v>300</v>
      </c>
      <c r="K45" s="1">
        <v>500</v>
      </c>
    </row>
    <row r="46" spans="1:11" x14ac:dyDescent="0.25">
      <c r="A46" s="1">
        <v>45</v>
      </c>
      <c r="B46" s="1" t="s">
        <v>167</v>
      </c>
      <c r="C46" s="1" t="s">
        <v>168</v>
      </c>
      <c r="D46" s="1" t="s">
        <v>151</v>
      </c>
      <c r="E46" s="1">
        <v>0.3</v>
      </c>
      <c r="F46" s="1" t="s">
        <v>169</v>
      </c>
      <c r="G46" s="1" t="s">
        <v>27</v>
      </c>
      <c r="H46" s="1" t="s">
        <v>28</v>
      </c>
      <c r="I46" s="1">
        <v>4.5999999999999996</v>
      </c>
      <c r="J46" s="1">
        <v>200</v>
      </c>
      <c r="K46" s="1">
        <v>100</v>
      </c>
    </row>
    <row r="47" spans="1:11" x14ac:dyDescent="0.25">
      <c r="A47" s="1">
        <v>46</v>
      </c>
      <c r="B47" s="1" t="s">
        <v>170</v>
      </c>
      <c r="C47" s="1" t="s">
        <v>171</v>
      </c>
      <c r="D47" s="1" t="s">
        <v>69</v>
      </c>
      <c r="E47" s="1">
        <v>1</v>
      </c>
      <c r="F47" s="1" t="s">
        <v>172</v>
      </c>
      <c r="G47" s="1" t="s">
        <v>21</v>
      </c>
      <c r="H47" s="1" t="s">
        <v>22</v>
      </c>
      <c r="I47" s="1">
        <v>4.8</v>
      </c>
      <c r="J47" s="1">
        <v>150</v>
      </c>
      <c r="K47" s="1">
        <v>200</v>
      </c>
    </row>
    <row r="48" spans="1:11" x14ac:dyDescent="0.25">
      <c r="A48" s="1">
        <v>47</v>
      </c>
      <c r="B48" s="1" t="s">
        <v>173</v>
      </c>
      <c r="C48" s="1" t="s">
        <v>174</v>
      </c>
      <c r="D48" s="1" t="s">
        <v>88</v>
      </c>
      <c r="E48" s="1">
        <v>0.2</v>
      </c>
      <c r="F48" s="1" t="s">
        <v>175</v>
      </c>
      <c r="G48" s="1" t="s">
        <v>27</v>
      </c>
      <c r="H48" s="1" t="s">
        <v>22</v>
      </c>
      <c r="I48" s="1">
        <v>4.4000000000000004</v>
      </c>
      <c r="J48" s="1">
        <v>120</v>
      </c>
      <c r="K48" s="1">
        <v>40</v>
      </c>
    </row>
    <row r="49" spans="1:11" x14ac:dyDescent="0.25">
      <c r="A49" s="1">
        <v>48</v>
      </c>
      <c r="B49" s="1" t="s">
        <v>176</v>
      </c>
      <c r="C49" s="1" t="s">
        <v>177</v>
      </c>
      <c r="D49" s="1" t="s">
        <v>111</v>
      </c>
      <c r="E49" s="1">
        <v>0.5</v>
      </c>
      <c r="F49" s="1" t="s">
        <v>178</v>
      </c>
      <c r="G49" s="1" t="s">
        <v>27</v>
      </c>
      <c r="H49" s="1" t="s">
        <v>16</v>
      </c>
      <c r="I49" s="1">
        <v>4.5</v>
      </c>
      <c r="J49" s="1">
        <v>180</v>
      </c>
      <c r="K49" s="1">
        <v>150</v>
      </c>
    </row>
    <row r="50" spans="1:11" x14ac:dyDescent="0.25">
      <c r="A50" s="1">
        <v>49</v>
      </c>
      <c r="B50" s="1" t="s">
        <v>179</v>
      </c>
      <c r="C50" s="1" t="s">
        <v>180</v>
      </c>
      <c r="D50" s="1" t="s">
        <v>31</v>
      </c>
      <c r="E50" s="1">
        <v>0.1</v>
      </c>
      <c r="F50" s="1" t="s">
        <v>58</v>
      </c>
      <c r="G50" s="1" t="s">
        <v>27</v>
      </c>
      <c r="H50" s="1" t="s">
        <v>22</v>
      </c>
      <c r="I50" s="1">
        <v>4.4000000000000004</v>
      </c>
      <c r="J50" s="1">
        <v>250</v>
      </c>
      <c r="K50" s="1">
        <v>120</v>
      </c>
    </row>
    <row r="51" spans="1:11" x14ac:dyDescent="0.25">
      <c r="A51" s="1">
        <v>50</v>
      </c>
      <c r="B51" s="1" t="s">
        <v>181</v>
      </c>
      <c r="C51" s="1" t="s">
        <v>182</v>
      </c>
      <c r="D51" s="1" t="s">
        <v>35</v>
      </c>
      <c r="E51" s="1">
        <v>0.05</v>
      </c>
      <c r="F51" s="1" t="s">
        <v>82</v>
      </c>
      <c r="G51" s="1" t="s">
        <v>27</v>
      </c>
      <c r="H51" s="1" t="s">
        <v>22</v>
      </c>
      <c r="I51" s="1">
        <v>4.3</v>
      </c>
      <c r="J51" s="1">
        <v>150</v>
      </c>
      <c r="K51" s="1">
        <v>60</v>
      </c>
    </row>
    <row r="52" spans="1:11" x14ac:dyDescent="0.25">
      <c r="A52" s="1">
        <v>51</v>
      </c>
      <c r="B52" s="1" t="s">
        <v>183</v>
      </c>
      <c r="C52" s="1" t="s">
        <v>135</v>
      </c>
      <c r="D52" s="1" t="s">
        <v>69</v>
      </c>
      <c r="E52" s="1">
        <v>0.3</v>
      </c>
      <c r="F52" s="1" t="s">
        <v>184</v>
      </c>
      <c r="G52" s="1" t="s">
        <v>27</v>
      </c>
      <c r="H52" s="1" t="s">
        <v>133</v>
      </c>
      <c r="I52" s="1">
        <v>4.2</v>
      </c>
      <c r="J52" s="1">
        <v>100</v>
      </c>
      <c r="K52" s="1">
        <v>20</v>
      </c>
    </row>
    <row r="53" spans="1:11" x14ac:dyDescent="0.25">
      <c r="A53" s="1">
        <v>52</v>
      </c>
      <c r="B53" s="1" t="s">
        <v>185</v>
      </c>
      <c r="C53" s="1" t="s">
        <v>186</v>
      </c>
      <c r="D53" s="1" t="s">
        <v>73</v>
      </c>
      <c r="E53" s="1">
        <v>0.6</v>
      </c>
      <c r="F53" s="1" t="s">
        <v>187</v>
      </c>
      <c r="G53" s="1" t="s">
        <v>27</v>
      </c>
      <c r="H53" s="1" t="s">
        <v>22</v>
      </c>
      <c r="I53" s="1">
        <v>4.5999999999999996</v>
      </c>
      <c r="J53" s="1">
        <v>90</v>
      </c>
      <c r="K53" s="1">
        <v>80</v>
      </c>
    </row>
    <row r="54" spans="1:11" x14ac:dyDescent="0.25">
      <c r="A54" s="1">
        <v>53</v>
      </c>
      <c r="B54" s="1" t="s">
        <v>188</v>
      </c>
      <c r="C54" s="1" t="s">
        <v>93</v>
      </c>
      <c r="D54" s="1" t="s">
        <v>62</v>
      </c>
      <c r="E54" s="1">
        <v>0.4</v>
      </c>
      <c r="F54" s="1" t="s">
        <v>189</v>
      </c>
      <c r="G54" s="1" t="s">
        <v>27</v>
      </c>
      <c r="H54" s="1" t="s">
        <v>22</v>
      </c>
      <c r="I54" s="1">
        <v>4.3</v>
      </c>
      <c r="J54" s="1">
        <v>70</v>
      </c>
      <c r="K54" s="1">
        <v>25</v>
      </c>
    </row>
    <row r="55" spans="1:11" x14ac:dyDescent="0.25">
      <c r="A55" s="1">
        <v>54</v>
      </c>
      <c r="B55" s="1" t="s">
        <v>190</v>
      </c>
      <c r="C55" s="1" t="s">
        <v>191</v>
      </c>
      <c r="D55" s="1" t="s">
        <v>121</v>
      </c>
      <c r="E55" s="1">
        <v>8</v>
      </c>
      <c r="F55" s="1" t="s">
        <v>192</v>
      </c>
      <c r="G55" s="1" t="s">
        <v>193</v>
      </c>
      <c r="H55" s="1" t="s">
        <v>22</v>
      </c>
      <c r="I55" s="1">
        <v>4.5</v>
      </c>
      <c r="J55" s="1">
        <v>200</v>
      </c>
      <c r="K55" s="1">
        <v>400</v>
      </c>
    </row>
    <row r="56" spans="1:11" x14ac:dyDescent="0.25">
      <c r="A56" s="1">
        <v>55</v>
      </c>
      <c r="B56" s="1" t="s">
        <v>194</v>
      </c>
      <c r="C56" s="1" t="s">
        <v>150</v>
      </c>
      <c r="D56" s="1" t="s">
        <v>151</v>
      </c>
      <c r="E56" s="1">
        <v>0.1</v>
      </c>
      <c r="F56" s="1" t="s">
        <v>152</v>
      </c>
      <c r="G56" s="1" t="s">
        <v>27</v>
      </c>
      <c r="H56" s="1" t="s">
        <v>28</v>
      </c>
      <c r="I56" s="1">
        <v>4.4000000000000004</v>
      </c>
      <c r="J56" s="1">
        <v>120</v>
      </c>
      <c r="K56" s="1">
        <v>20</v>
      </c>
    </row>
    <row r="57" spans="1:11" x14ac:dyDescent="0.25">
      <c r="A57" s="1">
        <v>56</v>
      </c>
      <c r="B57" s="1" t="s">
        <v>195</v>
      </c>
      <c r="C57" s="1" t="s">
        <v>196</v>
      </c>
      <c r="D57" s="1" t="s">
        <v>197</v>
      </c>
      <c r="E57" s="1">
        <v>0.1</v>
      </c>
      <c r="F57" s="1" t="s">
        <v>198</v>
      </c>
      <c r="G57" s="1" t="s">
        <v>199</v>
      </c>
      <c r="H57" s="1" t="s">
        <v>22</v>
      </c>
      <c r="I57" s="1">
        <v>4.2</v>
      </c>
      <c r="J57" s="1">
        <v>80</v>
      </c>
      <c r="K57" s="1">
        <v>25</v>
      </c>
    </row>
    <row r="58" spans="1:11" x14ac:dyDescent="0.25">
      <c r="A58" s="1">
        <v>57</v>
      </c>
      <c r="B58" s="1" t="s">
        <v>200</v>
      </c>
      <c r="C58" s="1" t="s">
        <v>201</v>
      </c>
      <c r="D58" s="1" t="s">
        <v>121</v>
      </c>
      <c r="E58" s="1">
        <v>0.5</v>
      </c>
      <c r="F58" s="1" t="s">
        <v>202</v>
      </c>
      <c r="G58" s="1" t="s">
        <v>27</v>
      </c>
      <c r="H58" s="1" t="s">
        <v>16</v>
      </c>
      <c r="I58" s="1">
        <v>4.5</v>
      </c>
      <c r="J58" s="1">
        <v>150</v>
      </c>
      <c r="K58" s="1">
        <v>50</v>
      </c>
    </row>
    <row r="59" spans="1:11" x14ac:dyDescent="0.25">
      <c r="A59" s="1">
        <v>58</v>
      </c>
      <c r="B59" s="1" t="s">
        <v>203</v>
      </c>
      <c r="C59" s="1" t="s">
        <v>204</v>
      </c>
      <c r="D59" s="1" t="s">
        <v>104</v>
      </c>
      <c r="E59" s="1">
        <v>0.3</v>
      </c>
      <c r="F59" s="1" t="s">
        <v>205</v>
      </c>
      <c r="G59" s="1" t="s">
        <v>27</v>
      </c>
      <c r="H59" s="1" t="s">
        <v>28</v>
      </c>
      <c r="I59" s="1">
        <v>4.5999999999999996</v>
      </c>
      <c r="J59" s="1">
        <v>100</v>
      </c>
      <c r="K59" s="1">
        <v>30</v>
      </c>
    </row>
    <row r="60" spans="1:11" x14ac:dyDescent="0.25">
      <c r="A60" s="1">
        <v>59</v>
      </c>
      <c r="B60" s="1" t="s">
        <v>206</v>
      </c>
      <c r="C60" s="1" t="s">
        <v>207</v>
      </c>
      <c r="D60" s="1" t="s">
        <v>69</v>
      </c>
      <c r="E60" s="1">
        <v>0.8</v>
      </c>
      <c r="F60" s="1" t="s">
        <v>208</v>
      </c>
      <c r="G60" s="1" t="s">
        <v>27</v>
      </c>
      <c r="H60" s="1" t="s">
        <v>22</v>
      </c>
      <c r="I60" s="1">
        <v>4.3</v>
      </c>
      <c r="J60" s="1">
        <v>80</v>
      </c>
      <c r="K60" s="1">
        <v>70</v>
      </c>
    </row>
    <row r="61" spans="1:11" x14ac:dyDescent="0.25">
      <c r="A61" s="1">
        <v>60</v>
      </c>
      <c r="B61" s="1" t="s">
        <v>209</v>
      </c>
      <c r="C61" s="1" t="s">
        <v>210</v>
      </c>
      <c r="D61" s="1" t="s">
        <v>211</v>
      </c>
      <c r="E61" s="1">
        <v>0.2</v>
      </c>
      <c r="F61" s="1" t="s">
        <v>212</v>
      </c>
      <c r="G61" s="1" t="s">
        <v>27</v>
      </c>
      <c r="H61" s="1" t="s">
        <v>47</v>
      </c>
      <c r="I61" s="1">
        <v>4.7</v>
      </c>
      <c r="J61" s="1">
        <v>200</v>
      </c>
      <c r="K61" s="1">
        <v>40</v>
      </c>
    </row>
    <row r="62" spans="1:11" x14ac:dyDescent="0.25">
      <c r="A62" s="1">
        <v>61</v>
      </c>
      <c r="B62" s="1" t="s">
        <v>213</v>
      </c>
      <c r="C62" s="1" t="s">
        <v>214</v>
      </c>
      <c r="D62" s="1" t="s">
        <v>35</v>
      </c>
      <c r="E62" s="1">
        <v>0.3</v>
      </c>
      <c r="F62" s="1" t="s">
        <v>161</v>
      </c>
      <c r="G62" s="1" t="s">
        <v>27</v>
      </c>
      <c r="H62" s="1" t="s">
        <v>28</v>
      </c>
      <c r="I62" s="1">
        <v>4.4000000000000004</v>
      </c>
      <c r="J62" s="1">
        <v>150</v>
      </c>
      <c r="K62" s="1">
        <v>20</v>
      </c>
    </row>
    <row r="63" spans="1:11" x14ac:dyDescent="0.25">
      <c r="A63" s="1">
        <v>62</v>
      </c>
      <c r="B63" s="1" t="s">
        <v>215</v>
      </c>
      <c r="C63" s="1" t="s">
        <v>216</v>
      </c>
      <c r="D63" s="1" t="s">
        <v>217</v>
      </c>
      <c r="E63" s="1">
        <v>2</v>
      </c>
      <c r="F63" s="1" t="s">
        <v>218</v>
      </c>
      <c r="G63" s="1" t="s">
        <v>27</v>
      </c>
      <c r="H63" s="1" t="s">
        <v>59</v>
      </c>
      <c r="I63" s="1">
        <v>4.5999999999999996</v>
      </c>
      <c r="J63" s="1">
        <v>180</v>
      </c>
      <c r="K63" s="1">
        <v>100</v>
      </c>
    </row>
    <row r="64" spans="1:11" x14ac:dyDescent="0.25">
      <c r="A64" s="1">
        <v>63</v>
      </c>
      <c r="B64" s="1" t="s">
        <v>219</v>
      </c>
      <c r="C64" s="1" t="s">
        <v>220</v>
      </c>
      <c r="D64" s="1" t="s">
        <v>69</v>
      </c>
      <c r="E64" s="1">
        <v>0.5</v>
      </c>
      <c r="F64" s="1" t="s">
        <v>221</v>
      </c>
      <c r="G64" s="1" t="s">
        <v>27</v>
      </c>
      <c r="H64" s="1" t="s">
        <v>22</v>
      </c>
      <c r="I64" s="1">
        <v>4.2</v>
      </c>
      <c r="J64" s="1">
        <v>90</v>
      </c>
      <c r="K64" s="1">
        <v>40</v>
      </c>
    </row>
    <row r="65" spans="1:11" x14ac:dyDescent="0.25">
      <c r="A65" s="1">
        <v>64</v>
      </c>
      <c r="B65" s="1" t="s">
        <v>222</v>
      </c>
      <c r="C65" s="1" t="s">
        <v>223</v>
      </c>
      <c r="D65" s="1" t="s">
        <v>224</v>
      </c>
      <c r="E65" s="1">
        <v>1</v>
      </c>
      <c r="F65" s="1" t="s">
        <v>225</v>
      </c>
      <c r="G65" s="1" t="s">
        <v>226</v>
      </c>
      <c r="H65" s="1" t="s">
        <v>22</v>
      </c>
      <c r="I65" s="1">
        <v>4.5</v>
      </c>
      <c r="J65" s="1">
        <v>200</v>
      </c>
      <c r="K65" s="1">
        <v>50</v>
      </c>
    </row>
    <row r="66" spans="1:11" x14ac:dyDescent="0.25">
      <c r="A66" s="1">
        <v>65</v>
      </c>
      <c r="B66" s="1" t="s">
        <v>227</v>
      </c>
      <c r="C66" s="1" t="s">
        <v>228</v>
      </c>
      <c r="D66" s="1" t="s">
        <v>73</v>
      </c>
      <c r="E66" s="1">
        <v>1.5</v>
      </c>
      <c r="F66" s="1" t="s">
        <v>229</v>
      </c>
      <c r="G66" s="1" t="s">
        <v>27</v>
      </c>
      <c r="H66" s="1" t="s">
        <v>16</v>
      </c>
      <c r="I66" s="1">
        <v>4.4000000000000004</v>
      </c>
      <c r="J66" s="1">
        <v>120</v>
      </c>
      <c r="K66" s="1">
        <v>150</v>
      </c>
    </row>
    <row r="67" spans="1:11" x14ac:dyDescent="0.25">
      <c r="A67" s="1">
        <v>66</v>
      </c>
      <c r="B67" s="1" t="s">
        <v>230</v>
      </c>
      <c r="C67" s="1" t="s">
        <v>231</v>
      </c>
      <c r="D67" s="1" t="s">
        <v>232</v>
      </c>
      <c r="E67" s="1">
        <v>1.2</v>
      </c>
      <c r="F67" s="1" t="s">
        <v>233</v>
      </c>
      <c r="G67" s="1" t="s">
        <v>27</v>
      </c>
      <c r="H67" s="1" t="s">
        <v>28</v>
      </c>
      <c r="I67" s="1">
        <v>4.8</v>
      </c>
      <c r="J67" s="1">
        <v>250</v>
      </c>
      <c r="K67" s="1">
        <v>80</v>
      </c>
    </row>
    <row r="68" spans="1:11" x14ac:dyDescent="0.25">
      <c r="A68" s="1">
        <v>67</v>
      </c>
      <c r="B68" s="1" t="s">
        <v>234</v>
      </c>
      <c r="C68" s="1" t="s">
        <v>235</v>
      </c>
      <c r="D68" s="1" t="s">
        <v>62</v>
      </c>
      <c r="E68" s="1">
        <v>0.2</v>
      </c>
      <c r="F68" s="1" t="s">
        <v>139</v>
      </c>
      <c r="G68" s="1" t="s">
        <v>27</v>
      </c>
      <c r="H68" s="1" t="s">
        <v>22</v>
      </c>
      <c r="I68" s="1">
        <v>4.3</v>
      </c>
      <c r="J68" s="1">
        <v>100</v>
      </c>
      <c r="K68" s="1">
        <v>30</v>
      </c>
    </row>
    <row r="69" spans="1:11" x14ac:dyDescent="0.25">
      <c r="A69" s="1">
        <v>68</v>
      </c>
      <c r="B69" s="1" t="s">
        <v>236</v>
      </c>
      <c r="C69" s="1" t="s">
        <v>237</v>
      </c>
      <c r="D69" s="1" t="s">
        <v>197</v>
      </c>
      <c r="E69" s="1">
        <v>0.5</v>
      </c>
      <c r="F69" s="1" t="s">
        <v>238</v>
      </c>
      <c r="G69" s="1" t="s">
        <v>226</v>
      </c>
      <c r="H69" s="1" t="s">
        <v>22</v>
      </c>
      <c r="I69" s="1">
        <v>4.5999999999999996</v>
      </c>
      <c r="J69" s="1">
        <v>150</v>
      </c>
      <c r="K69" s="1">
        <v>40</v>
      </c>
    </row>
    <row r="70" spans="1:11" x14ac:dyDescent="0.25">
      <c r="A70" s="1">
        <v>69</v>
      </c>
      <c r="B70" s="1" t="s">
        <v>239</v>
      </c>
      <c r="C70" s="1" t="s">
        <v>240</v>
      </c>
      <c r="D70" s="1" t="s">
        <v>121</v>
      </c>
      <c r="E70" s="1">
        <v>0.2</v>
      </c>
      <c r="F70" s="1" t="s">
        <v>241</v>
      </c>
      <c r="G70" s="1" t="s">
        <v>37</v>
      </c>
      <c r="H70" s="1" t="s">
        <v>22</v>
      </c>
      <c r="I70" s="1">
        <v>4.4000000000000004</v>
      </c>
      <c r="J70" s="1">
        <v>80</v>
      </c>
      <c r="K70" s="1">
        <v>30</v>
      </c>
    </row>
    <row r="71" spans="1:11" x14ac:dyDescent="0.25">
      <c r="A71" s="1">
        <v>70</v>
      </c>
      <c r="B71" s="1" t="s">
        <v>242</v>
      </c>
      <c r="C71" s="1" t="s">
        <v>243</v>
      </c>
      <c r="D71" s="1" t="s">
        <v>197</v>
      </c>
      <c r="E71" s="1">
        <v>0.1</v>
      </c>
      <c r="F71" s="1" t="s">
        <v>244</v>
      </c>
      <c r="G71" s="1" t="s">
        <v>245</v>
      </c>
      <c r="H71" s="1" t="s">
        <v>22</v>
      </c>
      <c r="I71" s="1">
        <v>4.7</v>
      </c>
      <c r="J71" s="1">
        <v>200</v>
      </c>
      <c r="K71" s="1">
        <v>50</v>
      </c>
    </row>
    <row r="72" spans="1:11" x14ac:dyDescent="0.25">
      <c r="A72" s="1">
        <v>71</v>
      </c>
      <c r="B72" s="1" t="s">
        <v>246</v>
      </c>
      <c r="C72" s="1" t="s">
        <v>247</v>
      </c>
      <c r="D72" s="1" t="s">
        <v>69</v>
      </c>
      <c r="E72" s="1">
        <v>0.7</v>
      </c>
      <c r="F72" s="1" t="s">
        <v>248</v>
      </c>
      <c r="G72" s="1" t="s">
        <v>27</v>
      </c>
      <c r="H72" s="1" t="s">
        <v>22</v>
      </c>
      <c r="I72" s="1">
        <v>4.5</v>
      </c>
      <c r="J72" s="1">
        <v>120</v>
      </c>
      <c r="K72" s="1">
        <v>60</v>
      </c>
    </row>
    <row r="73" spans="1:11" x14ac:dyDescent="0.25">
      <c r="A73" s="1">
        <v>72</v>
      </c>
      <c r="B73" s="1" t="s">
        <v>249</v>
      </c>
      <c r="C73" s="1" t="s">
        <v>216</v>
      </c>
      <c r="D73" s="1" t="s">
        <v>217</v>
      </c>
      <c r="E73" s="1">
        <v>1.5</v>
      </c>
      <c r="F73" s="1" t="s">
        <v>250</v>
      </c>
      <c r="G73" s="1" t="s">
        <v>27</v>
      </c>
      <c r="H73" s="1" t="s">
        <v>59</v>
      </c>
      <c r="I73" s="1">
        <v>4.5999999999999996</v>
      </c>
      <c r="J73" s="1">
        <v>180</v>
      </c>
      <c r="K73" s="1">
        <v>100</v>
      </c>
    </row>
    <row r="74" spans="1:11" x14ac:dyDescent="0.25">
      <c r="A74" s="1">
        <v>73</v>
      </c>
      <c r="B74" s="1" t="s">
        <v>251</v>
      </c>
      <c r="C74" s="1" t="s">
        <v>252</v>
      </c>
      <c r="D74" s="1" t="s">
        <v>69</v>
      </c>
      <c r="E74" s="1">
        <v>0.1</v>
      </c>
      <c r="F74" s="1" t="s">
        <v>63</v>
      </c>
      <c r="G74" s="1" t="s">
        <v>27</v>
      </c>
      <c r="H74" s="1" t="s">
        <v>22</v>
      </c>
      <c r="I74" s="1">
        <v>4.4000000000000004</v>
      </c>
      <c r="J74" s="1">
        <v>90</v>
      </c>
      <c r="K74" s="1">
        <v>20</v>
      </c>
    </row>
    <row r="75" spans="1:11" x14ac:dyDescent="0.25">
      <c r="A75" s="1">
        <v>74</v>
      </c>
      <c r="B75" s="1" t="s">
        <v>253</v>
      </c>
      <c r="C75" s="1" t="s">
        <v>254</v>
      </c>
      <c r="D75" s="1" t="s">
        <v>69</v>
      </c>
      <c r="E75" s="1">
        <v>0.5</v>
      </c>
      <c r="F75" s="1" t="s">
        <v>255</v>
      </c>
      <c r="G75" s="1" t="s">
        <v>27</v>
      </c>
      <c r="H75" s="1" t="s">
        <v>28</v>
      </c>
      <c r="I75" s="1">
        <v>4.3</v>
      </c>
      <c r="J75" s="1">
        <v>70</v>
      </c>
      <c r="K75" s="1">
        <v>80</v>
      </c>
    </row>
    <row r="76" spans="1:11" x14ac:dyDescent="0.25">
      <c r="A76" s="1">
        <v>75</v>
      </c>
      <c r="B76" s="1" t="s">
        <v>256</v>
      </c>
      <c r="C76" s="1" t="s">
        <v>257</v>
      </c>
      <c r="D76" s="1" t="s">
        <v>57</v>
      </c>
      <c r="E76" s="1">
        <v>0.3</v>
      </c>
      <c r="F76" s="1" t="s">
        <v>258</v>
      </c>
      <c r="G76" s="1" t="s">
        <v>27</v>
      </c>
      <c r="H76" s="1" t="s">
        <v>22</v>
      </c>
      <c r="I76" s="1">
        <v>4.5</v>
      </c>
      <c r="J76" s="1">
        <v>150</v>
      </c>
      <c r="K76" s="1">
        <v>20</v>
      </c>
    </row>
    <row r="77" spans="1:11" x14ac:dyDescent="0.25">
      <c r="A77" s="1">
        <v>76</v>
      </c>
      <c r="B77" s="1" t="s">
        <v>259</v>
      </c>
      <c r="C77" s="1" t="s">
        <v>260</v>
      </c>
      <c r="D77" s="1" t="s">
        <v>97</v>
      </c>
      <c r="E77" s="1">
        <v>0.6</v>
      </c>
      <c r="F77" s="1" t="s">
        <v>261</v>
      </c>
      <c r="G77" s="1" t="s">
        <v>27</v>
      </c>
      <c r="H77" s="1" t="s">
        <v>28</v>
      </c>
      <c r="I77" s="1">
        <v>4.5999999999999996</v>
      </c>
      <c r="J77" s="1">
        <v>100</v>
      </c>
      <c r="K77" s="1">
        <v>40</v>
      </c>
    </row>
    <row r="78" spans="1:11" x14ac:dyDescent="0.25">
      <c r="A78" s="1">
        <v>77</v>
      </c>
      <c r="B78" s="1" t="s">
        <v>262</v>
      </c>
      <c r="C78" s="1" t="s">
        <v>263</v>
      </c>
      <c r="D78" s="1" t="s">
        <v>88</v>
      </c>
      <c r="E78" s="1">
        <v>0.3</v>
      </c>
      <c r="F78" s="1" t="s">
        <v>264</v>
      </c>
      <c r="G78" s="1" t="s">
        <v>27</v>
      </c>
      <c r="H78" s="1" t="s">
        <v>22</v>
      </c>
      <c r="I78" s="1">
        <v>4.4000000000000004</v>
      </c>
      <c r="J78" s="1">
        <v>120</v>
      </c>
      <c r="K78" s="1">
        <v>50</v>
      </c>
    </row>
    <row r="79" spans="1:11" x14ac:dyDescent="0.25">
      <c r="A79" s="1">
        <v>78</v>
      </c>
      <c r="B79" s="1" t="s">
        <v>265</v>
      </c>
      <c r="C79" s="1" t="s">
        <v>266</v>
      </c>
      <c r="D79" s="1" t="s">
        <v>121</v>
      </c>
      <c r="E79" s="1">
        <v>0.5</v>
      </c>
      <c r="F79" s="1" t="s">
        <v>267</v>
      </c>
      <c r="G79" s="1" t="s">
        <v>27</v>
      </c>
      <c r="H79" s="1" t="s">
        <v>22</v>
      </c>
      <c r="I79" s="1">
        <v>4.7</v>
      </c>
      <c r="J79" s="1">
        <v>200</v>
      </c>
      <c r="K79" s="1">
        <v>100</v>
      </c>
    </row>
    <row r="80" spans="1:11" x14ac:dyDescent="0.25">
      <c r="A80" s="1">
        <v>79</v>
      </c>
      <c r="B80" s="1" t="s">
        <v>268</v>
      </c>
      <c r="C80" s="1" t="s">
        <v>269</v>
      </c>
      <c r="D80" s="1" t="s">
        <v>88</v>
      </c>
      <c r="E80" s="1">
        <v>0.1</v>
      </c>
      <c r="F80" s="1" t="s">
        <v>82</v>
      </c>
      <c r="G80" s="1" t="s">
        <v>27</v>
      </c>
      <c r="H80" s="1" t="s">
        <v>22</v>
      </c>
      <c r="I80" s="1">
        <v>4.5</v>
      </c>
      <c r="J80" s="1">
        <v>150</v>
      </c>
      <c r="K80" s="1">
        <v>20</v>
      </c>
    </row>
    <row r="81" spans="1:11" x14ac:dyDescent="0.25">
      <c r="A81" s="1">
        <v>80</v>
      </c>
      <c r="B81" s="1" t="s">
        <v>270</v>
      </c>
      <c r="C81" s="1" t="s">
        <v>271</v>
      </c>
      <c r="D81" s="1" t="s">
        <v>211</v>
      </c>
      <c r="E81" s="1">
        <v>0.3</v>
      </c>
      <c r="F81" s="1" t="s">
        <v>272</v>
      </c>
      <c r="G81" s="1" t="s">
        <v>226</v>
      </c>
      <c r="H81" s="1" t="s">
        <v>22</v>
      </c>
      <c r="I81" s="1">
        <v>4.5999999999999996</v>
      </c>
      <c r="J81" s="1">
        <v>180</v>
      </c>
      <c r="K81" s="1">
        <v>30</v>
      </c>
    </row>
    <row r="82" spans="1:11" x14ac:dyDescent="0.25">
      <c r="A82" s="1">
        <v>81</v>
      </c>
      <c r="B82" s="1" t="s">
        <v>273</v>
      </c>
      <c r="C82" s="1" t="s">
        <v>274</v>
      </c>
      <c r="D82" s="1" t="s">
        <v>97</v>
      </c>
      <c r="E82" s="1">
        <v>0.3</v>
      </c>
      <c r="F82" s="1" t="s">
        <v>169</v>
      </c>
      <c r="G82" s="1" t="s">
        <v>27</v>
      </c>
      <c r="H82" s="1" t="s">
        <v>28</v>
      </c>
      <c r="I82" s="1">
        <v>4.7</v>
      </c>
      <c r="J82" s="1">
        <v>200</v>
      </c>
      <c r="K82" s="1">
        <v>120</v>
      </c>
    </row>
    <row r="83" spans="1:11" x14ac:dyDescent="0.25">
      <c r="A83" s="1">
        <v>82</v>
      </c>
      <c r="B83" s="1" t="s">
        <v>275</v>
      </c>
      <c r="C83" s="1" t="s">
        <v>276</v>
      </c>
      <c r="D83" s="1" t="s">
        <v>69</v>
      </c>
      <c r="E83" s="1">
        <v>0.5</v>
      </c>
      <c r="F83" s="1" t="s">
        <v>264</v>
      </c>
      <c r="G83" s="1" t="s">
        <v>27</v>
      </c>
      <c r="H83" s="1" t="s">
        <v>22</v>
      </c>
      <c r="I83" s="1">
        <v>4.5</v>
      </c>
      <c r="J83" s="1">
        <v>150</v>
      </c>
      <c r="K83" s="1">
        <v>40</v>
      </c>
    </row>
    <row r="84" spans="1:11" x14ac:dyDescent="0.25">
      <c r="A84" s="1">
        <v>83</v>
      </c>
      <c r="B84" s="1" t="s">
        <v>277</v>
      </c>
      <c r="C84" s="1" t="s">
        <v>278</v>
      </c>
      <c r="D84" s="1" t="s">
        <v>111</v>
      </c>
      <c r="E84" s="1">
        <v>0.2</v>
      </c>
      <c r="F84" s="1" t="s">
        <v>98</v>
      </c>
      <c r="G84" s="1" t="s">
        <v>27</v>
      </c>
      <c r="H84" s="1" t="s">
        <v>28</v>
      </c>
      <c r="I84" s="1">
        <v>4.5999999999999996</v>
      </c>
      <c r="J84" s="1">
        <v>100</v>
      </c>
      <c r="K84" s="1">
        <v>30</v>
      </c>
    </row>
    <row r="85" spans="1:11" x14ac:dyDescent="0.25">
      <c r="A85" s="1">
        <v>84</v>
      </c>
      <c r="B85" s="1" t="s">
        <v>279</v>
      </c>
      <c r="C85" s="1" t="s">
        <v>240</v>
      </c>
      <c r="D85" s="1" t="s">
        <v>73</v>
      </c>
      <c r="E85" s="1">
        <v>0.1</v>
      </c>
      <c r="F85" s="1" t="s">
        <v>82</v>
      </c>
      <c r="G85" s="1" t="s">
        <v>37</v>
      </c>
      <c r="H85" s="1" t="s">
        <v>22</v>
      </c>
      <c r="I85" s="1">
        <v>4.4000000000000004</v>
      </c>
      <c r="J85" s="1">
        <v>80</v>
      </c>
      <c r="K85" s="1">
        <v>20</v>
      </c>
    </row>
    <row r="86" spans="1:11" x14ac:dyDescent="0.25">
      <c r="A86" s="1">
        <v>85</v>
      </c>
      <c r="B86" s="1" t="s">
        <v>280</v>
      </c>
      <c r="C86" s="1" t="s">
        <v>281</v>
      </c>
      <c r="D86" s="1" t="s">
        <v>211</v>
      </c>
      <c r="E86" s="1">
        <v>0.1</v>
      </c>
      <c r="F86" s="1" t="s">
        <v>282</v>
      </c>
      <c r="G86" s="1" t="s">
        <v>199</v>
      </c>
      <c r="H86" s="1" t="s">
        <v>22</v>
      </c>
      <c r="I86" s="1">
        <v>4.5999999999999996</v>
      </c>
      <c r="J86" s="1">
        <v>120</v>
      </c>
      <c r="K86" s="1">
        <v>25</v>
      </c>
    </row>
    <row r="87" spans="1:11" x14ac:dyDescent="0.25">
      <c r="A87" s="1">
        <v>86</v>
      </c>
      <c r="B87" s="1" t="s">
        <v>283</v>
      </c>
      <c r="C87" s="1" t="s">
        <v>284</v>
      </c>
      <c r="D87" s="1" t="s">
        <v>69</v>
      </c>
      <c r="E87" s="1">
        <v>1</v>
      </c>
      <c r="F87" s="1" t="s">
        <v>285</v>
      </c>
      <c r="G87" s="1" t="s">
        <v>193</v>
      </c>
      <c r="H87" s="1" t="s">
        <v>22</v>
      </c>
      <c r="I87" s="1">
        <v>4.3</v>
      </c>
      <c r="J87" s="1">
        <v>180</v>
      </c>
      <c r="K87" s="1">
        <v>100</v>
      </c>
    </row>
    <row r="88" spans="1:11" x14ac:dyDescent="0.25">
      <c r="A88" s="1">
        <v>87</v>
      </c>
      <c r="B88" s="1" t="s">
        <v>286</v>
      </c>
      <c r="C88" s="1" t="s">
        <v>287</v>
      </c>
      <c r="D88" s="1" t="s">
        <v>73</v>
      </c>
      <c r="E88" s="1">
        <v>0.5</v>
      </c>
      <c r="F88" s="1" t="s">
        <v>198</v>
      </c>
      <c r="G88" s="1" t="s">
        <v>27</v>
      </c>
      <c r="H88" s="1" t="s">
        <v>28</v>
      </c>
      <c r="I88" s="1">
        <v>4.5</v>
      </c>
      <c r="J88" s="1">
        <v>200</v>
      </c>
      <c r="K88" s="1">
        <v>50</v>
      </c>
    </row>
    <row r="89" spans="1:11" x14ac:dyDescent="0.25">
      <c r="A89" s="1">
        <v>88</v>
      </c>
      <c r="B89" s="1" t="s">
        <v>288</v>
      </c>
      <c r="C89" s="1" t="s">
        <v>289</v>
      </c>
      <c r="D89" s="1" t="s">
        <v>97</v>
      </c>
      <c r="E89" s="1">
        <v>0.8</v>
      </c>
      <c r="F89" s="1" t="s">
        <v>290</v>
      </c>
      <c r="G89" s="1" t="s">
        <v>27</v>
      </c>
      <c r="H89" s="1" t="s">
        <v>28</v>
      </c>
      <c r="I89" s="1">
        <v>4.4000000000000004</v>
      </c>
      <c r="J89" s="1">
        <v>150</v>
      </c>
      <c r="K89" s="1">
        <v>70</v>
      </c>
    </row>
    <row r="90" spans="1:11" x14ac:dyDescent="0.25">
      <c r="A90" s="1">
        <v>89</v>
      </c>
      <c r="B90" s="1" t="s">
        <v>291</v>
      </c>
      <c r="C90" s="1" t="s">
        <v>177</v>
      </c>
      <c r="D90" s="1" t="s">
        <v>111</v>
      </c>
      <c r="E90" s="1">
        <v>0.3</v>
      </c>
      <c r="F90" s="1" t="s">
        <v>202</v>
      </c>
      <c r="G90" s="1" t="s">
        <v>27</v>
      </c>
      <c r="H90" s="1" t="s">
        <v>16</v>
      </c>
      <c r="I90" s="1">
        <v>4.7</v>
      </c>
      <c r="J90" s="1">
        <v>250</v>
      </c>
      <c r="K90" s="1">
        <v>80</v>
      </c>
    </row>
    <row r="91" spans="1:11" x14ac:dyDescent="0.25">
      <c r="A91" s="1">
        <v>90</v>
      </c>
      <c r="B91" s="1" t="s">
        <v>292</v>
      </c>
      <c r="C91" s="1" t="s">
        <v>293</v>
      </c>
      <c r="D91" s="1" t="s">
        <v>69</v>
      </c>
      <c r="E91" s="1">
        <v>0.2</v>
      </c>
      <c r="F91" s="1" t="s">
        <v>94</v>
      </c>
      <c r="G91" s="1" t="s">
        <v>27</v>
      </c>
      <c r="H91" s="1" t="s">
        <v>22</v>
      </c>
      <c r="I91" s="1">
        <v>4.5</v>
      </c>
      <c r="J91" s="1">
        <v>120</v>
      </c>
      <c r="K91" s="1">
        <v>20</v>
      </c>
    </row>
    <row r="92" spans="1:11" x14ac:dyDescent="0.25">
      <c r="A92" s="1">
        <v>91</v>
      </c>
      <c r="B92" s="1" t="s">
        <v>294</v>
      </c>
      <c r="C92" s="1" t="s">
        <v>295</v>
      </c>
      <c r="D92" s="1" t="s">
        <v>69</v>
      </c>
      <c r="E92" s="1">
        <v>0.2</v>
      </c>
      <c r="F92" s="1" t="s">
        <v>296</v>
      </c>
      <c r="G92" s="1" t="s">
        <v>297</v>
      </c>
      <c r="H92" s="1" t="s">
        <v>22</v>
      </c>
      <c r="I92" s="1">
        <v>4.3</v>
      </c>
      <c r="J92" s="1">
        <v>100</v>
      </c>
      <c r="K92" s="1">
        <v>15</v>
      </c>
    </row>
    <row r="93" spans="1:11" x14ac:dyDescent="0.25">
      <c r="A93" s="1">
        <v>92</v>
      </c>
      <c r="B93" s="1" t="s">
        <v>298</v>
      </c>
      <c r="C93" s="1" t="s">
        <v>299</v>
      </c>
      <c r="D93" s="1" t="s">
        <v>62</v>
      </c>
      <c r="E93" s="1">
        <v>0.5</v>
      </c>
      <c r="F93" s="1" t="s">
        <v>198</v>
      </c>
      <c r="G93" s="1" t="s">
        <v>300</v>
      </c>
      <c r="H93" s="1" t="s">
        <v>22</v>
      </c>
      <c r="I93" s="1">
        <v>4.5999999999999996</v>
      </c>
      <c r="J93" s="1">
        <v>150</v>
      </c>
      <c r="K93" s="1">
        <v>30</v>
      </c>
    </row>
    <row r="94" spans="1:11" x14ac:dyDescent="0.25">
      <c r="A94" s="1">
        <v>93</v>
      </c>
      <c r="B94" s="1" t="s">
        <v>301</v>
      </c>
      <c r="C94" s="1" t="s">
        <v>302</v>
      </c>
      <c r="D94" s="1" t="s">
        <v>69</v>
      </c>
      <c r="E94" s="1">
        <v>0.3</v>
      </c>
      <c r="F94" s="1" t="s">
        <v>303</v>
      </c>
      <c r="G94" s="1" t="s">
        <v>27</v>
      </c>
      <c r="H94" s="1" t="s">
        <v>28</v>
      </c>
      <c r="I94" s="1">
        <v>4.4000000000000004</v>
      </c>
      <c r="J94" s="1">
        <v>180</v>
      </c>
      <c r="K94" s="1">
        <v>40</v>
      </c>
    </row>
    <row r="95" spans="1:11" x14ac:dyDescent="0.25">
      <c r="A95" s="1">
        <v>94</v>
      </c>
      <c r="B95" s="1" t="s">
        <v>304</v>
      </c>
      <c r="C95" s="1" t="s">
        <v>305</v>
      </c>
      <c r="D95" s="1" t="s">
        <v>35</v>
      </c>
      <c r="E95" s="1">
        <v>0.2</v>
      </c>
      <c r="F95" s="1" t="s">
        <v>306</v>
      </c>
      <c r="G95" s="1" t="s">
        <v>199</v>
      </c>
      <c r="H95" s="1" t="s">
        <v>22</v>
      </c>
      <c r="I95" s="1">
        <v>4.5</v>
      </c>
      <c r="J95" s="1">
        <v>200</v>
      </c>
      <c r="K95" s="1">
        <v>50</v>
      </c>
    </row>
    <row r="96" spans="1:11" x14ac:dyDescent="0.25">
      <c r="A96" s="1">
        <v>95</v>
      </c>
      <c r="B96" s="1" t="s">
        <v>307</v>
      </c>
      <c r="C96" s="1" t="s">
        <v>308</v>
      </c>
      <c r="D96" s="1" t="s">
        <v>73</v>
      </c>
      <c r="E96" s="1">
        <v>1.5</v>
      </c>
      <c r="F96" s="1" t="s">
        <v>309</v>
      </c>
      <c r="G96" s="1" t="s">
        <v>27</v>
      </c>
      <c r="H96" s="1" t="s">
        <v>22</v>
      </c>
      <c r="I96" s="1">
        <v>4.5999999999999996</v>
      </c>
      <c r="J96" s="1">
        <v>220</v>
      </c>
      <c r="K96" s="1">
        <v>120</v>
      </c>
    </row>
    <row r="97" spans="1:11" x14ac:dyDescent="0.25">
      <c r="A97" s="1">
        <v>96</v>
      </c>
      <c r="B97" s="1" t="s">
        <v>310</v>
      </c>
      <c r="C97" s="1" t="s">
        <v>247</v>
      </c>
      <c r="D97" s="1" t="s">
        <v>69</v>
      </c>
      <c r="E97" s="1">
        <v>1.2</v>
      </c>
      <c r="F97" s="1" t="s">
        <v>130</v>
      </c>
      <c r="G97" s="1" t="s">
        <v>27</v>
      </c>
      <c r="H97" s="1" t="s">
        <v>28</v>
      </c>
      <c r="I97" s="1">
        <v>4.4000000000000004</v>
      </c>
      <c r="J97" s="1">
        <v>160</v>
      </c>
      <c r="K97" s="1">
        <v>70</v>
      </c>
    </row>
    <row r="98" spans="1:11" x14ac:dyDescent="0.25">
      <c r="A98" s="1">
        <v>97</v>
      </c>
      <c r="B98" s="1" t="s">
        <v>311</v>
      </c>
      <c r="C98" s="1" t="s">
        <v>312</v>
      </c>
      <c r="D98" s="1" t="s">
        <v>151</v>
      </c>
      <c r="E98" s="1">
        <v>0.2</v>
      </c>
      <c r="F98" s="1" t="s">
        <v>169</v>
      </c>
      <c r="G98" s="1" t="s">
        <v>27</v>
      </c>
      <c r="H98" s="1" t="s">
        <v>28</v>
      </c>
      <c r="I98" s="1">
        <v>4.7</v>
      </c>
      <c r="J98" s="1">
        <v>250</v>
      </c>
      <c r="K98" s="1">
        <v>30</v>
      </c>
    </row>
    <row r="99" spans="1:11" x14ac:dyDescent="0.25">
      <c r="A99" s="1">
        <v>98</v>
      </c>
      <c r="B99" s="1" t="s">
        <v>313</v>
      </c>
      <c r="C99" s="1" t="s">
        <v>314</v>
      </c>
      <c r="D99" s="1" t="s">
        <v>69</v>
      </c>
      <c r="E99" s="1">
        <v>0.5</v>
      </c>
      <c r="F99" s="1" t="s">
        <v>315</v>
      </c>
      <c r="G99" s="1" t="s">
        <v>27</v>
      </c>
      <c r="H99" s="1" t="s">
        <v>22</v>
      </c>
      <c r="I99" s="1">
        <v>4.5</v>
      </c>
      <c r="J99" s="1">
        <v>150</v>
      </c>
      <c r="K99" s="1">
        <v>40</v>
      </c>
    </row>
    <row r="100" spans="1:11" x14ac:dyDescent="0.25">
      <c r="A100" s="1">
        <v>99</v>
      </c>
      <c r="B100" s="1" t="s">
        <v>316</v>
      </c>
      <c r="C100" s="1" t="s">
        <v>317</v>
      </c>
      <c r="D100" s="1" t="s">
        <v>73</v>
      </c>
      <c r="E100" s="1">
        <v>0.3</v>
      </c>
      <c r="F100" s="1" t="s">
        <v>318</v>
      </c>
      <c r="G100" s="1" t="s">
        <v>37</v>
      </c>
      <c r="H100" s="1" t="s">
        <v>16</v>
      </c>
      <c r="I100" s="1">
        <v>4.5999999999999996</v>
      </c>
      <c r="J100" s="1">
        <v>200</v>
      </c>
      <c r="K100" s="1">
        <v>30</v>
      </c>
    </row>
    <row r="101" spans="1:11" x14ac:dyDescent="0.25">
      <c r="A101" s="1">
        <v>100</v>
      </c>
      <c r="B101" s="1" t="s">
        <v>319</v>
      </c>
      <c r="C101" s="1" t="s">
        <v>320</v>
      </c>
      <c r="D101" s="1" t="s">
        <v>69</v>
      </c>
      <c r="E101" s="1">
        <v>2</v>
      </c>
      <c r="F101" s="1" t="s">
        <v>321</v>
      </c>
      <c r="G101" s="1" t="s">
        <v>27</v>
      </c>
      <c r="H101" s="1" t="s">
        <v>22</v>
      </c>
      <c r="I101" s="1">
        <v>4.5</v>
      </c>
      <c r="J101" s="1">
        <v>180</v>
      </c>
      <c r="K101" s="1">
        <v>80</v>
      </c>
    </row>
    <row r="102" spans="1:11" x14ac:dyDescent="0.25">
      <c r="A102" s="1">
        <v>101</v>
      </c>
      <c r="B102" s="1" t="s">
        <v>322</v>
      </c>
      <c r="C102" s="1" t="s">
        <v>323</v>
      </c>
      <c r="D102" s="1" t="s">
        <v>69</v>
      </c>
      <c r="E102" s="1">
        <v>2.5</v>
      </c>
      <c r="F102" s="1" t="s">
        <v>324</v>
      </c>
      <c r="G102" s="1" t="s">
        <v>193</v>
      </c>
      <c r="H102" s="1" t="s">
        <v>325</v>
      </c>
      <c r="I102" s="1">
        <v>4.4000000000000004</v>
      </c>
      <c r="J102" s="1">
        <v>200</v>
      </c>
      <c r="K102" s="1">
        <v>100</v>
      </c>
    </row>
    <row r="103" spans="1:11" x14ac:dyDescent="0.25">
      <c r="A103" s="1">
        <v>102</v>
      </c>
      <c r="B103" s="1" t="s">
        <v>326</v>
      </c>
      <c r="C103" s="1" t="s">
        <v>216</v>
      </c>
      <c r="D103" s="1" t="s">
        <v>327</v>
      </c>
      <c r="E103" s="1">
        <v>0.5</v>
      </c>
      <c r="F103" s="1" t="s">
        <v>328</v>
      </c>
      <c r="G103" s="1" t="s">
        <v>27</v>
      </c>
      <c r="H103" s="1" t="s">
        <v>28</v>
      </c>
      <c r="I103" s="1">
        <v>4.7</v>
      </c>
      <c r="J103" s="1">
        <v>250</v>
      </c>
      <c r="K103" s="1">
        <v>60</v>
      </c>
    </row>
    <row r="104" spans="1:11" x14ac:dyDescent="0.25">
      <c r="A104" s="1">
        <v>103</v>
      </c>
      <c r="B104" s="1" t="s">
        <v>329</v>
      </c>
      <c r="C104" s="1" t="s">
        <v>330</v>
      </c>
      <c r="D104" s="1" t="s">
        <v>331</v>
      </c>
      <c r="E104" s="1">
        <v>0.3</v>
      </c>
      <c r="F104" s="1" t="s">
        <v>221</v>
      </c>
      <c r="G104" s="1" t="s">
        <v>27</v>
      </c>
      <c r="H104" s="1" t="s">
        <v>22</v>
      </c>
      <c r="I104" s="1">
        <v>4.5</v>
      </c>
      <c r="J104" s="1">
        <v>150</v>
      </c>
      <c r="K104" s="1">
        <v>40</v>
      </c>
    </row>
    <row r="105" spans="1:11" x14ac:dyDescent="0.25">
      <c r="A105" s="1">
        <v>104</v>
      </c>
      <c r="B105" s="1" t="s">
        <v>332</v>
      </c>
      <c r="C105" s="1" t="s">
        <v>333</v>
      </c>
      <c r="D105" s="1" t="s">
        <v>232</v>
      </c>
      <c r="E105" s="1">
        <v>0.2</v>
      </c>
      <c r="F105" s="1" t="s">
        <v>334</v>
      </c>
      <c r="G105" s="1" t="s">
        <v>226</v>
      </c>
      <c r="H105" s="1" t="s">
        <v>22</v>
      </c>
      <c r="I105" s="1">
        <v>4.5999999999999996</v>
      </c>
      <c r="J105" s="1">
        <v>200</v>
      </c>
      <c r="K105" s="1">
        <v>50</v>
      </c>
    </row>
    <row r="106" spans="1:11" x14ac:dyDescent="0.25">
      <c r="A106" s="1">
        <v>105</v>
      </c>
      <c r="B106" s="1" t="s">
        <v>335</v>
      </c>
      <c r="C106" s="1" t="s">
        <v>336</v>
      </c>
      <c r="D106" s="1" t="s">
        <v>69</v>
      </c>
      <c r="E106" s="1">
        <v>1</v>
      </c>
      <c r="F106" s="1" t="s">
        <v>337</v>
      </c>
      <c r="G106" s="1" t="s">
        <v>27</v>
      </c>
      <c r="H106" s="1" t="s">
        <v>28</v>
      </c>
      <c r="I106" s="1">
        <v>4.4000000000000004</v>
      </c>
      <c r="J106" s="1">
        <v>180</v>
      </c>
      <c r="K106" s="1">
        <v>90</v>
      </c>
    </row>
    <row r="107" spans="1:11" x14ac:dyDescent="0.25">
      <c r="A107" s="1">
        <v>106</v>
      </c>
      <c r="B107" s="1" t="s">
        <v>338</v>
      </c>
      <c r="C107" s="1" t="s">
        <v>339</v>
      </c>
      <c r="D107" s="1" t="s">
        <v>69</v>
      </c>
      <c r="E107" s="1">
        <v>0.1</v>
      </c>
      <c r="F107" s="1" t="s">
        <v>63</v>
      </c>
      <c r="G107" s="1" t="s">
        <v>27</v>
      </c>
      <c r="H107" s="1" t="s">
        <v>22</v>
      </c>
      <c r="I107" s="1">
        <v>4.7</v>
      </c>
      <c r="J107" s="1">
        <v>250</v>
      </c>
      <c r="K107" s="1">
        <v>20</v>
      </c>
    </row>
    <row r="108" spans="1:11" x14ac:dyDescent="0.25">
      <c r="A108" s="1">
        <v>107</v>
      </c>
      <c r="B108" s="1" t="s">
        <v>340</v>
      </c>
      <c r="C108" s="1" t="s">
        <v>341</v>
      </c>
      <c r="D108" s="1" t="s">
        <v>69</v>
      </c>
      <c r="E108" s="1">
        <v>0.7</v>
      </c>
      <c r="F108" s="1" t="s">
        <v>290</v>
      </c>
      <c r="G108" s="1" t="s">
        <v>27</v>
      </c>
      <c r="H108" s="1" t="s">
        <v>22</v>
      </c>
      <c r="I108" s="1">
        <v>4.5999999999999996</v>
      </c>
      <c r="J108" s="1">
        <v>200</v>
      </c>
      <c r="K108" s="1">
        <v>60</v>
      </c>
    </row>
    <row r="109" spans="1:11" x14ac:dyDescent="0.25">
      <c r="A109" s="1">
        <v>108</v>
      </c>
      <c r="B109" s="1" t="s">
        <v>342</v>
      </c>
      <c r="C109" s="1" t="s">
        <v>343</v>
      </c>
      <c r="D109" s="1" t="s">
        <v>232</v>
      </c>
      <c r="E109" s="1">
        <v>1</v>
      </c>
      <c r="F109" s="1" t="s">
        <v>344</v>
      </c>
      <c r="G109" s="1" t="s">
        <v>27</v>
      </c>
      <c r="H109" s="1" t="s">
        <v>28</v>
      </c>
      <c r="I109" s="1">
        <v>4.5</v>
      </c>
      <c r="J109" s="1">
        <v>180</v>
      </c>
      <c r="K109" s="1">
        <v>70</v>
      </c>
    </row>
    <row r="110" spans="1:11" x14ac:dyDescent="0.25">
      <c r="A110" s="1">
        <v>109</v>
      </c>
      <c r="B110" s="1" t="s">
        <v>345</v>
      </c>
      <c r="C110" s="1" t="s">
        <v>346</v>
      </c>
      <c r="D110" s="1" t="s">
        <v>69</v>
      </c>
      <c r="E110" s="1">
        <v>0.1</v>
      </c>
      <c r="F110" s="1" t="s">
        <v>136</v>
      </c>
      <c r="G110" s="1" t="s">
        <v>27</v>
      </c>
      <c r="H110" s="1" t="s">
        <v>28</v>
      </c>
      <c r="I110" s="1">
        <v>4.7</v>
      </c>
      <c r="J110" s="1">
        <v>200</v>
      </c>
      <c r="K110" s="1">
        <v>20</v>
      </c>
    </row>
    <row r="111" spans="1:11" x14ac:dyDescent="0.25">
      <c r="A111" s="1">
        <v>110</v>
      </c>
      <c r="B111" s="1" t="s">
        <v>347</v>
      </c>
      <c r="C111" s="1" t="s">
        <v>348</v>
      </c>
      <c r="D111" s="1" t="s">
        <v>69</v>
      </c>
      <c r="E111" s="1">
        <v>0.5</v>
      </c>
      <c r="F111" s="1" t="s">
        <v>124</v>
      </c>
      <c r="G111" s="1" t="s">
        <v>27</v>
      </c>
      <c r="H111" s="1" t="s">
        <v>22</v>
      </c>
      <c r="I111" s="1">
        <v>4.5999999999999996</v>
      </c>
      <c r="J111" s="1">
        <v>150</v>
      </c>
      <c r="K111" s="1">
        <v>50</v>
      </c>
    </row>
    <row r="112" spans="1:11" x14ac:dyDescent="0.25">
      <c r="A112" s="1">
        <v>111</v>
      </c>
      <c r="B112" s="1" t="s">
        <v>349</v>
      </c>
      <c r="C112" s="1" t="s">
        <v>350</v>
      </c>
      <c r="D112" s="1" t="s">
        <v>197</v>
      </c>
      <c r="E112" s="1">
        <v>0.1</v>
      </c>
      <c r="F112" s="1" t="s">
        <v>351</v>
      </c>
      <c r="G112" s="1" t="s">
        <v>199</v>
      </c>
      <c r="H112" s="1" t="s">
        <v>352</v>
      </c>
      <c r="I112" s="1">
        <v>4.5</v>
      </c>
      <c r="J112" s="1">
        <v>100</v>
      </c>
      <c r="K112" s="1">
        <v>20</v>
      </c>
    </row>
    <row r="113" spans="1:11" x14ac:dyDescent="0.25">
      <c r="A113" s="1">
        <v>112</v>
      </c>
      <c r="B113" s="1" t="s">
        <v>353</v>
      </c>
      <c r="C113" s="1" t="s">
        <v>348</v>
      </c>
      <c r="D113" s="1" t="s">
        <v>69</v>
      </c>
      <c r="E113" s="1">
        <v>0.3</v>
      </c>
      <c r="F113" s="1" t="s">
        <v>272</v>
      </c>
      <c r="G113" s="1" t="s">
        <v>27</v>
      </c>
      <c r="H113" s="1" t="s">
        <v>28</v>
      </c>
      <c r="I113" s="1">
        <v>4.4000000000000004</v>
      </c>
      <c r="J113" s="1">
        <v>120</v>
      </c>
      <c r="K113" s="1">
        <v>30</v>
      </c>
    </row>
    <row r="114" spans="1:11" x14ac:dyDescent="0.25">
      <c r="A114" s="1">
        <v>113</v>
      </c>
      <c r="B114" s="1" t="s">
        <v>354</v>
      </c>
      <c r="C114" s="1" t="s">
        <v>355</v>
      </c>
      <c r="D114" s="1" t="s">
        <v>211</v>
      </c>
      <c r="E114" s="1">
        <v>0.2</v>
      </c>
      <c r="F114" s="1" t="s">
        <v>212</v>
      </c>
      <c r="G114" s="1" t="s">
        <v>27</v>
      </c>
      <c r="H114" s="1" t="s">
        <v>47</v>
      </c>
      <c r="I114" s="1">
        <v>4.5999999999999996</v>
      </c>
      <c r="J114" s="1">
        <v>150</v>
      </c>
      <c r="K114" s="1">
        <v>25</v>
      </c>
    </row>
    <row r="115" spans="1:11" x14ac:dyDescent="0.25">
      <c r="A115" s="1">
        <v>114</v>
      </c>
      <c r="B115" s="1" t="s">
        <v>356</v>
      </c>
      <c r="C115" s="1" t="s">
        <v>357</v>
      </c>
      <c r="D115" s="1" t="s">
        <v>358</v>
      </c>
      <c r="E115" s="1">
        <v>0.5</v>
      </c>
      <c r="F115" s="1" t="s">
        <v>148</v>
      </c>
      <c r="G115" s="1" t="s">
        <v>193</v>
      </c>
      <c r="H115" s="1" t="s">
        <v>325</v>
      </c>
      <c r="I115" s="1">
        <v>4.5</v>
      </c>
      <c r="J115" s="1">
        <v>180</v>
      </c>
      <c r="K115" s="1">
        <v>40</v>
      </c>
    </row>
    <row r="116" spans="1:11" x14ac:dyDescent="0.25">
      <c r="A116" s="1">
        <v>115</v>
      </c>
      <c r="B116" s="1" t="s">
        <v>359</v>
      </c>
      <c r="C116" s="1" t="s">
        <v>360</v>
      </c>
      <c r="D116" s="1" t="s">
        <v>69</v>
      </c>
      <c r="E116" s="1">
        <v>0.8</v>
      </c>
      <c r="F116" s="1" t="s">
        <v>361</v>
      </c>
      <c r="G116" s="1" t="s">
        <v>27</v>
      </c>
      <c r="H116" s="1" t="s">
        <v>22</v>
      </c>
      <c r="I116" s="1">
        <v>4.7</v>
      </c>
      <c r="J116" s="1">
        <v>200</v>
      </c>
      <c r="K116" s="1">
        <v>80</v>
      </c>
    </row>
    <row r="117" spans="1:11" x14ac:dyDescent="0.25">
      <c r="A117" s="1">
        <v>116</v>
      </c>
      <c r="B117" s="1" t="s">
        <v>362</v>
      </c>
      <c r="C117" s="1" t="s">
        <v>363</v>
      </c>
      <c r="D117" s="1" t="s">
        <v>224</v>
      </c>
      <c r="E117" s="1">
        <v>0.1</v>
      </c>
      <c r="F117" s="1" t="s">
        <v>364</v>
      </c>
      <c r="G117" s="1" t="s">
        <v>27</v>
      </c>
      <c r="H117" s="1" t="s">
        <v>22</v>
      </c>
      <c r="I117" s="1">
        <v>4.5999999999999996</v>
      </c>
      <c r="J117" s="1">
        <v>150</v>
      </c>
      <c r="K117" s="1">
        <v>15</v>
      </c>
    </row>
    <row r="118" spans="1:11" x14ac:dyDescent="0.25">
      <c r="A118" s="1">
        <v>117</v>
      </c>
      <c r="B118" s="1" t="s">
        <v>365</v>
      </c>
      <c r="C118" s="1" t="s">
        <v>366</v>
      </c>
      <c r="D118" s="1" t="s">
        <v>367</v>
      </c>
      <c r="E118" s="1">
        <v>0.2</v>
      </c>
      <c r="F118" s="1" t="s">
        <v>264</v>
      </c>
      <c r="G118" s="1" t="s">
        <v>27</v>
      </c>
      <c r="H118" s="1" t="s">
        <v>28</v>
      </c>
      <c r="I118" s="1">
        <v>4.5</v>
      </c>
      <c r="J118" s="1">
        <v>120</v>
      </c>
      <c r="K118" s="1">
        <v>40</v>
      </c>
    </row>
    <row r="119" spans="1:11" x14ac:dyDescent="0.25">
      <c r="A119" s="1">
        <v>118</v>
      </c>
      <c r="B119" s="1" t="s">
        <v>368</v>
      </c>
      <c r="C119" s="1" t="s">
        <v>369</v>
      </c>
      <c r="D119" s="1" t="s">
        <v>69</v>
      </c>
      <c r="E119" s="1">
        <v>0.5</v>
      </c>
      <c r="F119" s="1" t="s">
        <v>370</v>
      </c>
      <c r="G119" s="1" t="s">
        <v>27</v>
      </c>
      <c r="H119" s="1" t="s">
        <v>22</v>
      </c>
      <c r="I119" s="1">
        <v>4.4000000000000004</v>
      </c>
      <c r="J119" s="1">
        <v>100</v>
      </c>
      <c r="K119" s="1">
        <v>35</v>
      </c>
    </row>
    <row r="120" spans="1:11" x14ac:dyDescent="0.25">
      <c r="A120" s="1">
        <v>119</v>
      </c>
      <c r="B120" s="1" t="s">
        <v>371</v>
      </c>
      <c r="C120" s="1" t="s">
        <v>372</v>
      </c>
      <c r="D120" s="1" t="s">
        <v>373</v>
      </c>
      <c r="E120" s="1">
        <v>0.1</v>
      </c>
      <c r="F120" s="1" t="s">
        <v>79</v>
      </c>
      <c r="G120" s="1" t="s">
        <v>27</v>
      </c>
      <c r="H120" s="1" t="s">
        <v>38</v>
      </c>
      <c r="I120" s="1">
        <v>4.7</v>
      </c>
      <c r="J120" s="1">
        <v>200</v>
      </c>
      <c r="K120" s="1">
        <v>25</v>
      </c>
    </row>
    <row r="121" spans="1:11" x14ac:dyDescent="0.25">
      <c r="A121" s="1">
        <v>120</v>
      </c>
      <c r="B121" s="1" t="s">
        <v>374</v>
      </c>
      <c r="C121" s="1" t="s">
        <v>375</v>
      </c>
      <c r="D121" s="1" t="s">
        <v>35</v>
      </c>
      <c r="E121" s="1">
        <v>0.3</v>
      </c>
      <c r="F121" s="1" t="s">
        <v>264</v>
      </c>
      <c r="G121" s="1" t="s">
        <v>27</v>
      </c>
      <c r="H121" s="1" t="s">
        <v>22</v>
      </c>
      <c r="I121" s="1">
        <v>4.5999999999999996</v>
      </c>
      <c r="J121" s="1">
        <v>180</v>
      </c>
      <c r="K121" s="1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214F-EDA7-4F5B-A071-47C30E88B00F}">
  <dimension ref="A1:H3"/>
  <sheetViews>
    <sheetView zoomScale="140" zoomScaleNormal="140" workbookViewId="0">
      <selection activeCell="F5" sqref="F5"/>
    </sheetView>
  </sheetViews>
  <sheetFormatPr defaultRowHeight="15" x14ac:dyDescent="0.25"/>
  <cols>
    <col min="1" max="8" width="15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x14ac:dyDescent="0.25">
      <c r="A2">
        <v>9</v>
      </c>
      <c r="B2" t="str">
        <f>VLOOKUP(A2,data,2,FALSE)</f>
        <v>Drone</v>
      </c>
      <c r="C2" t="e">
        <f>VLOOKUP(A2,newdata,3,FALSE)</f>
        <v>#N/A</v>
      </c>
      <c r="D2" t="str">
        <f>VLOOKUP(A2,data,7,FALSE)</f>
        <v>Plastic</v>
      </c>
      <c r="E2" t="str">
        <f>_xlfn.XLOOKUP(A2,id,data!H:H)</f>
        <v>White</v>
      </c>
      <c r="F2">
        <f>_xlfn.XLOOKUP(A2,id,data!I:I)</f>
        <v>4.5999999999999996</v>
      </c>
    </row>
    <row r="3" spans="1:8" x14ac:dyDescent="0.25">
      <c r="A3">
        <v>116</v>
      </c>
      <c r="B3" t="str">
        <f>VLOOKUP(A3,data,2,FALSE)</f>
        <v>Smart Luggage Tag</v>
      </c>
    </row>
  </sheetData>
  <dataValidations count="1">
    <dataValidation type="list" allowBlank="1" showInputMessage="1" showErrorMessage="1" sqref="A1:A1048576" xr:uid="{412B74D7-A89F-4910-973E-9312AF470F8C}">
      <formula1>id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A7D4-586F-4A80-A707-7F93402C7D08}">
  <dimension ref="A3:G23"/>
  <sheetViews>
    <sheetView tabSelected="1" zoomScaleNormal="100" workbookViewId="0">
      <selection activeCell="G10" sqref="G10"/>
    </sheetView>
  </sheetViews>
  <sheetFormatPr defaultRowHeight="15" x14ac:dyDescent="0.25"/>
  <sheetData>
    <row r="3" spans="1:7" x14ac:dyDescent="0.25">
      <c r="F3" t="s">
        <v>376</v>
      </c>
      <c r="G3" t="s">
        <v>377</v>
      </c>
    </row>
    <row r="4" spans="1:7" x14ac:dyDescent="0.25">
      <c r="F4">
        <v>0</v>
      </c>
      <c r="G4">
        <v>0</v>
      </c>
    </row>
    <row r="5" spans="1:7" x14ac:dyDescent="0.25">
      <c r="F5">
        <v>100</v>
      </c>
      <c r="G5">
        <v>50</v>
      </c>
    </row>
    <row r="6" spans="1:7" x14ac:dyDescent="0.25">
      <c r="F6">
        <v>200</v>
      </c>
      <c r="G6">
        <v>100</v>
      </c>
    </row>
    <row r="7" spans="1:7" x14ac:dyDescent="0.25">
      <c r="F7">
        <v>300</v>
      </c>
      <c r="G7">
        <v>200</v>
      </c>
    </row>
    <row r="10" spans="1:7" x14ac:dyDescent="0.25">
      <c r="F10">
        <v>555</v>
      </c>
      <c r="G10" t="e">
        <f>VLOOKUP(F10,F3:G7,2,FALSE)</f>
        <v>#N/A</v>
      </c>
    </row>
    <row r="11" spans="1:7" x14ac:dyDescent="0.25">
      <c r="F11">
        <v>452</v>
      </c>
      <c r="G11">
        <f>VLOOKUP(F11,F3:G7,2,TRUE)</f>
        <v>200</v>
      </c>
    </row>
    <row r="12" spans="1:7" x14ac:dyDescent="0.25">
      <c r="F12">
        <v>320</v>
      </c>
    </row>
    <row r="13" spans="1:7" x14ac:dyDescent="0.25">
      <c r="F13">
        <v>152</v>
      </c>
    </row>
    <row r="15" spans="1:7" x14ac:dyDescent="0.25">
      <c r="A15" t="s">
        <v>378</v>
      </c>
      <c r="B15">
        <v>1</v>
      </c>
      <c r="C15">
        <v>2</v>
      </c>
      <c r="D15">
        <v>3</v>
      </c>
      <c r="E15">
        <v>4</v>
      </c>
      <c r="F15">
        <v>5</v>
      </c>
    </row>
    <row r="16" spans="1:7" x14ac:dyDescent="0.25">
      <c r="A16" t="s">
        <v>379</v>
      </c>
      <c r="B16" t="s">
        <v>381</v>
      </c>
      <c r="C16" t="s">
        <v>382</v>
      </c>
      <c r="D16" t="s">
        <v>383</v>
      </c>
      <c r="E16" t="s">
        <v>384</v>
      </c>
      <c r="F16" t="s">
        <v>385</v>
      </c>
    </row>
    <row r="17" spans="1:6" x14ac:dyDescent="0.25">
      <c r="A17" t="s">
        <v>380</v>
      </c>
      <c r="B17">
        <v>123</v>
      </c>
      <c r="C17">
        <v>456</v>
      </c>
      <c r="D17">
        <v>789</v>
      </c>
      <c r="E17">
        <v>741</v>
      </c>
      <c r="F17">
        <v>631</v>
      </c>
    </row>
    <row r="21" spans="1:6" x14ac:dyDescent="0.25">
      <c r="A21" t="s">
        <v>378</v>
      </c>
      <c r="B21">
        <v>5</v>
      </c>
    </row>
    <row r="22" spans="1:6" x14ac:dyDescent="0.25">
      <c r="A22" t="s">
        <v>379</v>
      </c>
      <c r="B22" t="str">
        <f>HLOOKUP(B21,hdata,2,FALSE)</f>
        <v>e</v>
      </c>
    </row>
    <row r="23" spans="1:6" x14ac:dyDescent="0.25">
      <c r="A23" t="s">
        <v>380</v>
      </c>
      <c r="B23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data</vt:lpstr>
      <vt:lpstr>Sheet2</vt:lpstr>
      <vt:lpstr>Sheet3</vt:lpstr>
      <vt:lpstr>data</vt:lpstr>
      <vt:lpstr>hdata</vt:lpstr>
      <vt:lpstr>id</vt:lpstr>
      <vt:lpstr>newdata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QSK1184</dc:creator>
  <cp:lastModifiedBy>QSK1184</cp:lastModifiedBy>
  <dcterms:created xsi:type="dcterms:W3CDTF">2024-10-01T05:39:39Z</dcterms:created>
  <dcterms:modified xsi:type="dcterms:W3CDTF">2024-10-01T07:26:42Z</dcterms:modified>
</cp:coreProperties>
</file>