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VIVEK CHAUHAN\Desktop\vivek-data-analysis\Basic-Advanced-Excel\"/>
    </mc:Choice>
  </mc:AlternateContent>
  <xr:revisionPtr revIDLastSave="0" documentId="13_ncr:1_{F78EB1A3-1339-45DF-9AF3-D15382B77D99}" xr6:coauthVersionLast="47" xr6:coauthVersionMax="47" xr10:uidLastSave="{00000000-0000-0000-0000-000000000000}"/>
  <bookViews>
    <workbookView xWindow="-108" yWindow="-108" windowWidth="23256" windowHeight="13896" activeTab="3" xr2:uid="{9B3AF4E9-8A03-4CD3-A0D1-EAF87B5753DB}"/>
  </bookViews>
  <sheets>
    <sheet name="text-function" sheetId="1" r:id="rId1"/>
    <sheet name="text-function-prac" sheetId="3" r:id="rId2"/>
    <sheet name="date-time-function" sheetId="2" r:id="rId3"/>
    <sheet name="date-time-function-pra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3" l="1"/>
  <c r="C18" i="4"/>
  <c r="B18" i="4"/>
  <c r="C11" i="4"/>
  <c r="B11" i="4"/>
  <c r="M34" i="4"/>
  <c r="L34" i="4"/>
  <c r="K36" i="4"/>
  <c r="K35" i="4"/>
  <c r="K34" i="4"/>
  <c r="N32" i="4"/>
  <c r="M32" i="4"/>
  <c r="N15" i="4"/>
  <c r="K21" i="4"/>
  <c r="K23" i="4" s="1"/>
  <c r="K19" i="4"/>
  <c r="K17" i="4"/>
  <c r="K16" i="4"/>
  <c r="K15" i="4"/>
  <c r="K11" i="4"/>
  <c r="K9" i="4"/>
  <c r="K6" i="4"/>
  <c r="K4" i="4"/>
  <c r="E35" i="3"/>
  <c r="D36" i="3"/>
  <c r="D33" i="3"/>
  <c r="D32" i="3"/>
  <c r="D30" i="3"/>
  <c r="D26" i="3"/>
  <c r="D24" i="3"/>
  <c r="D22" i="3"/>
  <c r="D20" i="3"/>
  <c r="D16" i="3"/>
  <c r="D14" i="3"/>
  <c r="D11" i="3"/>
  <c r="D10" i="3"/>
  <c r="D8" i="3"/>
  <c r="D6" i="3"/>
  <c r="D5" i="3"/>
  <c r="D4" i="3"/>
  <c r="W35" i="2"/>
  <c r="V35" i="2"/>
  <c r="T37" i="2"/>
  <c r="T36" i="2"/>
  <c r="T35" i="2"/>
  <c r="K38" i="1"/>
  <c r="K37" i="1"/>
  <c r="J30" i="1"/>
  <c r="J34" i="1" s="1"/>
  <c r="J36" i="1"/>
  <c r="J35" i="1"/>
  <c r="J32" i="1"/>
  <c r="N33" i="2"/>
  <c r="M33" i="2"/>
  <c r="L35" i="2"/>
  <c r="L34" i="2"/>
  <c r="L33" i="2"/>
  <c r="F37" i="1"/>
  <c r="E35" i="1"/>
  <c r="E34" i="1"/>
  <c r="E32" i="1"/>
  <c r="Z23" i="2"/>
  <c r="Y23" i="2"/>
  <c r="Z15" i="2"/>
  <c r="Y15" i="2"/>
  <c r="W33" i="2"/>
  <c r="V33" i="2"/>
  <c r="V15" i="2"/>
  <c r="T20" i="2"/>
  <c r="T22" i="2" s="1"/>
  <c r="T18" i="2"/>
  <c r="T16" i="2"/>
  <c r="T15" i="2"/>
  <c r="T14" i="2"/>
  <c r="T11" i="2"/>
  <c r="T9" i="2"/>
  <c r="T5" i="2"/>
  <c r="T3" i="2"/>
  <c r="F22" i="2"/>
  <c r="E22" i="2"/>
  <c r="F15" i="2"/>
  <c r="E15" i="2"/>
  <c r="P31" i="2"/>
  <c r="O31" i="2"/>
  <c r="N15" i="2"/>
  <c r="L16" i="2"/>
  <c r="L15" i="2"/>
  <c r="L14" i="2"/>
  <c r="L20" i="2"/>
  <c r="L22" i="2" s="1"/>
  <c r="L18" i="2"/>
  <c r="L11" i="2"/>
  <c r="L9" i="2"/>
  <c r="L5" i="2"/>
  <c r="L3" i="2"/>
  <c r="K26" i="1"/>
  <c r="K24" i="1"/>
  <c r="K22" i="1"/>
  <c r="J20" i="1"/>
  <c r="J18" i="1"/>
  <c r="J15" i="1"/>
  <c r="J13" i="1"/>
  <c r="E13" i="1"/>
  <c r="J12" i="1"/>
  <c r="J9" i="1"/>
  <c r="J6" i="1"/>
  <c r="J5" i="1"/>
  <c r="E30" i="1"/>
  <c r="E26" i="1"/>
  <c r="E24" i="1"/>
  <c r="F22" i="1"/>
  <c r="E12" i="1"/>
  <c r="E9" i="1"/>
  <c r="E7" i="1"/>
  <c r="E6" i="1"/>
  <c r="E5" i="1"/>
  <c r="K27" i="4" l="1"/>
  <c r="K25" i="4"/>
  <c r="T26" i="2"/>
  <c r="T24" i="2"/>
  <c r="L26" i="2"/>
  <c r="L24" i="2"/>
  <c r="E20" i="1"/>
  <c r="E18" i="1"/>
  <c r="E16" i="1"/>
  <c r="N23" i="4" l="1"/>
  <c r="V23" i="2"/>
  <c r="N23" i="2"/>
</calcChain>
</file>

<file path=xl/sharedStrings.xml><?xml version="1.0" encoding="utf-8"?>
<sst xmlns="http://schemas.openxmlformats.org/spreadsheetml/2006/main" count="122" uniqueCount="53">
  <si>
    <t>Future</t>
  </si>
  <si>
    <t>Vision</t>
  </si>
  <si>
    <t>Computers</t>
  </si>
  <si>
    <t xml:space="preserve"> =CONCAT</t>
  </si>
  <si>
    <t>&amp;</t>
  </si>
  <si>
    <t>LEFT</t>
  </si>
  <si>
    <t>RIGHT</t>
  </si>
  <si>
    <t>MID</t>
  </si>
  <si>
    <t>LOWER</t>
  </si>
  <si>
    <t>SURAT</t>
  </si>
  <si>
    <t>UPPER</t>
  </si>
  <si>
    <t>PROPER</t>
  </si>
  <si>
    <t>Future       Vision    computers</t>
  </si>
  <si>
    <t>TRIM</t>
  </si>
  <si>
    <t>CONCAT</t>
  </si>
  <si>
    <t>surat</t>
  </si>
  <si>
    <t>Future     Vision     Computers</t>
  </si>
  <si>
    <t>ADD 5 DAYS</t>
  </si>
  <si>
    <t>SUB 5 DAYS</t>
  </si>
  <si>
    <t>ADD MONTHS</t>
  </si>
  <si>
    <t>EDATE</t>
  </si>
  <si>
    <t xml:space="preserve"> =EDATE</t>
  </si>
  <si>
    <t>DAY</t>
  </si>
  <si>
    <t>MONTH</t>
  </si>
  <si>
    <t>YEAR</t>
  </si>
  <si>
    <t>TODAY</t>
  </si>
  <si>
    <t>NOW</t>
  </si>
  <si>
    <t>HOURS</t>
  </si>
  <si>
    <t>MINUTES</t>
  </si>
  <si>
    <t>SECONDS</t>
  </si>
  <si>
    <t>DATE</t>
  </si>
  <si>
    <t>TIME</t>
  </si>
  <si>
    <t>NET WORKING DAYS</t>
  </si>
  <si>
    <t>DAYS360</t>
  </si>
  <si>
    <t>(excluding sat &amp; sun)</t>
  </si>
  <si>
    <t xml:space="preserve"> =NETWORKDAYS</t>
  </si>
  <si>
    <t xml:space="preserve"> =NETWORKDAYS.INTL</t>
  </si>
  <si>
    <t>SUB 10 DAYS</t>
  </si>
  <si>
    <t>ADD 10 DAYS</t>
  </si>
  <si>
    <t>TO KNOW THE DIFFERENCE BETWEEN YEARS</t>
  </si>
  <si>
    <t>LEN</t>
  </si>
  <si>
    <t>FIND</t>
  </si>
  <si>
    <t>REPT</t>
  </si>
  <si>
    <t>*</t>
  </si>
  <si>
    <t>DATEDIF</t>
  </si>
  <si>
    <t>Vivek Chauhan Data-Analyst</t>
  </si>
  <si>
    <t xml:space="preserve">VIVEK </t>
  </si>
  <si>
    <t>CHAUHAN</t>
  </si>
  <si>
    <t>DATA-ANALYST</t>
  </si>
  <si>
    <t>VIVEK   CHAUHAN      DATA-ANALYST</t>
  </si>
  <si>
    <t>V</t>
  </si>
  <si>
    <t>working days</t>
  </si>
  <si>
    <t>holidays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</si>
</sst>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2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E736F-2E87-4996-91DF-824A569CD65A}">
  <dimension ref="D1:L38"/>
  <sheetViews>
    <sheetView topLeftCell="A4" zoomScale="85" zoomScaleNormal="88" workbookViewId="0">
      <selection activeCell="L38" sqref="L38"/>
    </sheetView>
  </sheetViews>
  <sheetFormatPr defaultRowHeight="14.4" x14ac:dyDescent="0.3"/>
  <cols>
    <col min="10" max="13" width="28.5546875" customWidth="1"/>
    <col min="14" max="15" width="25.109375" customWidth="1"/>
  </cols>
  <sheetData>
    <row r="1" spans="4:12" x14ac:dyDescent="0.3">
      <c r="E1" t="s">
        <v>0</v>
      </c>
      <c r="F1" t="s">
        <v>1</v>
      </c>
      <c r="G1" t="s">
        <v>2</v>
      </c>
      <c r="J1" t="s">
        <v>0</v>
      </c>
      <c r="K1" t="s">
        <v>1</v>
      </c>
      <c r="L1" t="s">
        <v>2</v>
      </c>
    </row>
    <row r="4" spans="4:12" x14ac:dyDescent="0.3">
      <c r="D4" s="1" t="s">
        <v>3</v>
      </c>
      <c r="I4" s="1" t="s">
        <v>14</v>
      </c>
    </row>
    <row r="5" spans="4:12" x14ac:dyDescent="0.3">
      <c r="E5" t="str">
        <f>_xlfn.CONCAT(E1,F1,G1)</f>
        <v>FutureVisionComputers</v>
      </c>
      <c r="J5" t="str">
        <f>_xlfn.CONCAT(J1,K1,L1)</f>
        <v>FutureVisionComputers</v>
      </c>
    </row>
    <row r="6" spans="4:12" x14ac:dyDescent="0.3">
      <c r="E6" t="str">
        <f>CONCATENATE(E1,F1,G1)</f>
        <v>FutureVisionComputers</v>
      </c>
      <c r="J6" t="str">
        <f>_xlfn.CONCAT(J1,K1,L1)</f>
        <v>FutureVisionComputers</v>
      </c>
    </row>
    <row r="7" spans="4:12" x14ac:dyDescent="0.3">
      <c r="E7" t="str">
        <f>_xlfn.CONCAT(E1,"-",F1,"-",G1)</f>
        <v>Future-Vision-Computers</v>
      </c>
    </row>
    <row r="9" spans="4:12" x14ac:dyDescent="0.3">
      <c r="E9" t="str">
        <f>_xlfn.CONCAT(E5," is in surat")</f>
        <v>FutureVisionComputers is in surat</v>
      </c>
      <c r="J9" t="str">
        <f>_xlfn.CONCAT(J1,K1,L1)</f>
        <v>FutureVisionComputers</v>
      </c>
    </row>
    <row r="12" spans="4:12" x14ac:dyDescent="0.3">
      <c r="D12" s="1" t="s">
        <v>4</v>
      </c>
      <c r="E12" t="str">
        <f>E1&amp;F1&amp;G1</f>
        <v>FutureVisionComputers</v>
      </c>
      <c r="I12" s="1" t="s">
        <v>4</v>
      </c>
      <c r="J12" t="str">
        <f>_xlfn.CONCAT(J1&amp;K1&amp;L1)</f>
        <v>FutureVisionComputers</v>
      </c>
    </row>
    <row r="13" spans="4:12" x14ac:dyDescent="0.3">
      <c r="E13" t="str">
        <f>E1&amp;"-"&amp;F1&amp;"-"&amp;G1</f>
        <v>Future-Vision-Computers</v>
      </c>
      <c r="J13" t="str">
        <f>J1&amp;"-"&amp;K1&amp;"-"&amp;L1</f>
        <v>Future-Vision-Computers</v>
      </c>
    </row>
    <row r="15" spans="4:12" x14ac:dyDescent="0.3">
      <c r="I15" s="1" t="s">
        <v>5</v>
      </c>
      <c r="J15" t="str">
        <f>LEFT(J12,5)</f>
        <v>Futur</v>
      </c>
    </row>
    <row r="16" spans="4:12" x14ac:dyDescent="0.3">
      <c r="D16" s="1" t="s">
        <v>5</v>
      </c>
      <c r="E16" t="str">
        <f>LEFT(E13,5)</f>
        <v>Futur</v>
      </c>
    </row>
    <row r="18" spans="4:11" x14ac:dyDescent="0.3">
      <c r="D18" s="1" t="s">
        <v>6</v>
      </c>
      <c r="E18" t="str">
        <f>RIGHT(E13,6)</f>
        <v>puters</v>
      </c>
      <c r="I18" s="1" t="s">
        <v>6</v>
      </c>
      <c r="J18" t="str">
        <f>RIGHT(J12,3)</f>
        <v>ers</v>
      </c>
    </row>
    <row r="20" spans="4:11" x14ac:dyDescent="0.3">
      <c r="D20" s="1" t="s">
        <v>7</v>
      </c>
      <c r="E20" t="str">
        <f>MID(E13,5,10)</f>
        <v>re-Vision-</v>
      </c>
      <c r="I20" s="1" t="s">
        <v>7</v>
      </c>
      <c r="J20" t="str">
        <f>MID(J12,5,10)</f>
        <v>reVisionCo</v>
      </c>
    </row>
    <row r="22" spans="4:11" x14ac:dyDescent="0.3">
      <c r="D22" s="1" t="s">
        <v>8</v>
      </c>
      <c r="E22" t="s">
        <v>9</v>
      </c>
      <c r="F22" t="str">
        <f>LOWER(E22)</f>
        <v>surat</v>
      </c>
      <c r="I22" s="1" t="s">
        <v>8</v>
      </c>
      <c r="J22" t="s">
        <v>9</v>
      </c>
      <c r="K22" t="str">
        <f>LOWER(J22)</f>
        <v>surat</v>
      </c>
    </row>
    <row r="24" spans="4:11" x14ac:dyDescent="0.3">
      <c r="D24" s="1" t="s">
        <v>10</v>
      </c>
      <c r="E24" t="str">
        <f>UPPER(F22)</f>
        <v>SURAT</v>
      </c>
      <c r="I24" s="1" t="s">
        <v>10</v>
      </c>
      <c r="J24" t="s">
        <v>15</v>
      </c>
      <c r="K24" t="str">
        <f>UPPER(J24)</f>
        <v>SURAT</v>
      </c>
    </row>
    <row r="26" spans="4:11" x14ac:dyDescent="0.3">
      <c r="D26" s="1" t="s">
        <v>11</v>
      </c>
      <c r="E26" t="str">
        <f>PROPER(E24)</f>
        <v>Surat</v>
      </c>
      <c r="I26" s="1" t="s">
        <v>11</v>
      </c>
      <c r="J26" t="s">
        <v>9</v>
      </c>
      <c r="K26" t="str">
        <f>PROPER(J26)</f>
        <v>Surat</v>
      </c>
    </row>
    <row r="28" spans="4:11" x14ac:dyDescent="0.3">
      <c r="D28" s="1" t="s">
        <v>13</v>
      </c>
      <c r="E28" t="s">
        <v>12</v>
      </c>
      <c r="I28" s="1" t="s">
        <v>13</v>
      </c>
      <c r="J28" t="s">
        <v>16</v>
      </c>
    </row>
    <row r="30" spans="4:11" x14ac:dyDescent="0.3">
      <c r="E30" t="str">
        <f>TRIM(E28)</f>
        <v>Future Vision computers</v>
      </c>
      <c r="J30" t="str">
        <f>TRIM(J28)</f>
        <v>Future Vision Computers</v>
      </c>
    </row>
    <row r="32" spans="4:11" x14ac:dyDescent="0.3">
      <c r="D32" s="1" t="s">
        <v>40</v>
      </c>
      <c r="E32">
        <f>LEN(E30)</f>
        <v>23</v>
      </c>
      <c r="I32" s="1" t="s">
        <v>40</v>
      </c>
      <c r="J32">
        <f>LEN(J30)</f>
        <v>23</v>
      </c>
    </row>
    <row r="33" spans="4:11" x14ac:dyDescent="0.3">
      <c r="D33" s="1"/>
    </row>
    <row r="34" spans="4:11" x14ac:dyDescent="0.3">
      <c r="D34" s="1" t="s">
        <v>41</v>
      </c>
      <c r="E34">
        <f>FIND("u",E30)</f>
        <v>2</v>
      </c>
      <c r="I34" s="1" t="s">
        <v>41</v>
      </c>
      <c r="J34">
        <f>FIND("u",J30)</f>
        <v>2</v>
      </c>
    </row>
    <row r="35" spans="4:11" x14ac:dyDescent="0.3">
      <c r="E35">
        <f>FIND("u",E30,3)</f>
        <v>4</v>
      </c>
      <c r="J35">
        <f>FIND("u",J30)</f>
        <v>2</v>
      </c>
    </row>
    <row r="36" spans="4:11" x14ac:dyDescent="0.3">
      <c r="J36">
        <f>FIND("u",J30,3)</f>
        <v>4</v>
      </c>
    </row>
    <row r="37" spans="4:11" x14ac:dyDescent="0.3">
      <c r="D37" s="1" t="s">
        <v>42</v>
      </c>
      <c r="E37" t="s">
        <v>43</v>
      </c>
      <c r="F37" t="str">
        <f>REPT(E37,5)</f>
        <v>*****</v>
      </c>
      <c r="I37" s="1" t="s">
        <v>42</v>
      </c>
      <c r="J37">
        <v>1</v>
      </c>
      <c r="K37" t="str">
        <f>REPT(J37,5)</f>
        <v>11111</v>
      </c>
    </row>
    <row r="38" spans="4:11" x14ac:dyDescent="0.3">
      <c r="J38" t="s">
        <v>43</v>
      </c>
      <c r="K38" t="str">
        <f>REPT(J38,10)</f>
        <v>**********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1F6F-BB71-4B7F-9CE2-DD66A201617A}">
  <dimension ref="B1:K36"/>
  <sheetViews>
    <sheetView zoomScale="88" zoomScaleNormal="88" workbookViewId="0">
      <selection activeCell="B4" sqref="B4:B35"/>
    </sheetView>
  </sheetViews>
  <sheetFormatPr defaultRowHeight="14.4" x14ac:dyDescent="0.3"/>
  <cols>
    <col min="8" max="10" width="20.6640625" customWidth="1"/>
    <col min="11" max="11" width="34.44140625" customWidth="1"/>
    <col min="12" max="17" width="20.6640625" customWidth="1"/>
  </cols>
  <sheetData>
    <row r="1" spans="2:11" x14ac:dyDescent="0.3">
      <c r="D1" t="s">
        <v>45</v>
      </c>
      <c r="H1" t="s">
        <v>46</v>
      </c>
      <c r="I1" t="s">
        <v>47</v>
      </c>
      <c r="J1" t="s">
        <v>48</v>
      </c>
      <c r="K1" t="s">
        <v>49</v>
      </c>
    </row>
    <row r="4" spans="2:11" x14ac:dyDescent="0.3">
      <c r="B4" s="1" t="s">
        <v>14</v>
      </c>
      <c r="D4" t="str">
        <f>_xlfn.CONCAT(D1)</f>
        <v>Vivek Chauhan Data-Analyst</v>
      </c>
    </row>
    <row r="5" spans="2:11" x14ac:dyDescent="0.3">
      <c r="D5" t="str">
        <f>_xlfn.CONCAT(H1,I1,J1)</f>
        <v>VIVEK CHAUHANDATA-ANALYST</v>
      </c>
    </row>
    <row r="6" spans="2:11" x14ac:dyDescent="0.3">
      <c r="D6" t="str">
        <f>_xlfn.CONCAT(H1,"-",I1,"-",J1)</f>
        <v>VIVEK -CHAUHAN-DATA-ANALYST</v>
      </c>
    </row>
    <row r="8" spans="2:11" x14ac:dyDescent="0.3">
      <c r="D8" t="str">
        <f>_xlfn.CONCAT(D6,"IN FUTURE VISION COMPUTERS")</f>
        <v>VIVEK -CHAUHAN-DATA-ANALYSTIN FUTURE VISION COMPUTERS</v>
      </c>
    </row>
    <row r="10" spans="2:11" x14ac:dyDescent="0.3">
      <c r="B10" s="1" t="s">
        <v>4</v>
      </c>
      <c r="D10" t="str">
        <f>H1&amp;I1&amp;J1</f>
        <v>VIVEK CHAUHANDATA-ANALYST</v>
      </c>
    </row>
    <row r="11" spans="2:11" x14ac:dyDescent="0.3">
      <c r="D11" t="str">
        <f>H1&amp;"-"&amp;I1&amp;"-"&amp;J1</f>
        <v>VIVEK -CHAUHAN-DATA-ANALYST</v>
      </c>
    </row>
    <row r="14" spans="2:11" x14ac:dyDescent="0.3">
      <c r="B14" s="1" t="s">
        <v>5</v>
      </c>
      <c r="D14" t="str">
        <f>LEFT(D11,5)</f>
        <v>VIVEK</v>
      </c>
    </row>
    <row r="16" spans="2:11" x14ac:dyDescent="0.3">
      <c r="B16" s="1" t="s">
        <v>6</v>
      </c>
      <c r="D16" t="str">
        <f>RIGHT(D11,5)</f>
        <v>ALYST</v>
      </c>
    </row>
    <row r="18" spans="2:4" x14ac:dyDescent="0.3">
      <c r="B18" s="1" t="s">
        <v>7</v>
      </c>
      <c r="D18" t="str">
        <f>MID(D11,7,14)</f>
        <v>-CHAUHAN-DATA-</v>
      </c>
    </row>
    <row r="20" spans="2:4" x14ac:dyDescent="0.3">
      <c r="B20" s="1" t="s">
        <v>8</v>
      </c>
      <c r="D20" t="str">
        <f>LOWER(D14)</f>
        <v>vivek</v>
      </c>
    </row>
    <row r="22" spans="2:4" x14ac:dyDescent="0.3">
      <c r="B22" s="1" t="s">
        <v>10</v>
      </c>
      <c r="D22" t="str">
        <f>UPPER(D20)</f>
        <v>VIVEK</v>
      </c>
    </row>
    <row r="24" spans="2:4" x14ac:dyDescent="0.3">
      <c r="B24" s="1" t="s">
        <v>11</v>
      </c>
      <c r="D24" t="str">
        <f>PROPER(D22)</f>
        <v>Vivek</v>
      </c>
    </row>
    <row r="26" spans="2:4" x14ac:dyDescent="0.3">
      <c r="B26" s="1" t="s">
        <v>13</v>
      </c>
      <c r="D26" t="str">
        <f>TRIM(K1)</f>
        <v>VIVEK CHAUHAN DATA-ANALYST</v>
      </c>
    </row>
    <row r="30" spans="2:4" x14ac:dyDescent="0.3">
      <c r="B30" s="1" t="s">
        <v>40</v>
      </c>
      <c r="D30">
        <f>LEN(K1)</f>
        <v>33</v>
      </c>
    </row>
    <row r="31" spans="2:4" x14ac:dyDescent="0.3">
      <c r="B31" s="1"/>
    </row>
    <row r="32" spans="2:4" x14ac:dyDescent="0.3">
      <c r="B32" s="1" t="s">
        <v>41</v>
      </c>
      <c r="D32">
        <f>FIND("I",K1,1)</f>
        <v>2</v>
      </c>
    </row>
    <row r="33" spans="2:5" x14ac:dyDescent="0.3">
      <c r="D33">
        <f>FIND("C",K1,1)</f>
        <v>9</v>
      </c>
    </row>
    <row r="35" spans="2:5" x14ac:dyDescent="0.3">
      <c r="B35" s="1" t="s">
        <v>42</v>
      </c>
      <c r="D35" t="s">
        <v>50</v>
      </c>
      <c r="E35" t="str">
        <f>REPT(D35,2)</f>
        <v>VV</v>
      </c>
    </row>
    <row r="36" spans="2:5" x14ac:dyDescent="0.3">
      <c r="D36" t="str">
        <f>REPT(D35,5)</f>
        <v>VVVVV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2E11-9523-43A2-B7AD-6E679ADD18D3}">
  <dimension ref="D1:Z37"/>
  <sheetViews>
    <sheetView workbookViewId="0">
      <selection activeCell="E22" sqref="E22"/>
    </sheetView>
  </sheetViews>
  <sheetFormatPr defaultRowHeight="14.4" x14ac:dyDescent="0.3"/>
  <cols>
    <col min="4" max="4" width="19.6640625" bestFit="1" customWidth="1"/>
    <col min="5" max="6" width="10.44140625" bestFit="1" customWidth="1"/>
    <col min="10" max="10" width="10.44140625" bestFit="1" customWidth="1"/>
    <col min="12" max="12" width="15.5546875" bestFit="1" customWidth="1"/>
    <col min="13" max="15" width="10.44140625" bestFit="1" customWidth="1"/>
    <col min="18" max="18" width="12.88671875" customWidth="1"/>
    <col min="19" max="19" width="10.44140625" bestFit="1" customWidth="1"/>
    <col min="20" max="20" width="15.5546875" bestFit="1" customWidth="1"/>
    <col min="22" max="23" width="10.44140625" bestFit="1" customWidth="1"/>
    <col min="24" max="24" width="19.6640625" customWidth="1"/>
    <col min="25" max="26" width="13.109375" customWidth="1"/>
  </cols>
  <sheetData>
    <row r="1" spans="4:26" x14ac:dyDescent="0.3">
      <c r="J1" s="2">
        <v>45413</v>
      </c>
      <c r="S1" s="2">
        <v>45413</v>
      </c>
    </row>
    <row r="3" spans="4:26" x14ac:dyDescent="0.3">
      <c r="J3" s="1" t="s">
        <v>17</v>
      </c>
      <c r="L3" s="2">
        <f>J1+5</f>
        <v>45418</v>
      </c>
      <c r="R3" s="1" t="s">
        <v>38</v>
      </c>
      <c r="T3" s="2">
        <f>S1+10</f>
        <v>45423</v>
      </c>
    </row>
    <row r="5" spans="4:26" x14ac:dyDescent="0.3">
      <c r="J5" s="1" t="s">
        <v>18</v>
      </c>
      <c r="L5" s="2">
        <f>L3-5</f>
        <v>45413</v>
      </c>
      <c r="R5" s="1" t="s">
        <v>37</v>
      </c>
      <c r="T5" s="2">
        <f>T3-10</f>
        <v>45413</v>
      </c>
    </row>
    <row r="8" spans="4:26" x14ac:dyDescent="0.3">
      <c r="J8" s="1" t="s">
        <v>19</v>
      </c>
      <c r="R8" s="1" t="s">
        <v>19</v>
      </c>
    </row>
    <row r="9" spans="4:26" x14ac:dyDescent="0.3">
      <c r="J9" s="1" t="s">
        <v>21</v>
      </c>
      <c r="L9" s="2">
        <f>EDATE(L5,5)</f>
        <v>45566</v>
      </c>
      <c r="R9" s="1" t="s">
        <v>20</v>
      </c>
      <c r="T9" s="2">
        <f>EDATE(S1,5)</f>
        <v>45566</v>
      </c>
    </row>
    <row r="11" spans="4:26" x14ac:dyDescent="0.3">
      <c r="F11" s="2">
        <v>45567</v>
      </c>
      <c r="L11" s="2">
        <f>EDATE(L9,-6)</f>
        <v>45383</v>
      </c>
      <c r="T11" s="2">
        <f>EDATE(T3,3)</f>
        <v>45515</v>
      </c>
      <c r="Z11" s="2">
        <v>45567</v>
      </c>
    </row>
    <row r="12" spans="4:26" x14ac:dyDescent="0.3">
      <c r="E12" s="2">
        <v>45292</v>
      </c>
      <c r="F12" s="2">
        <v>45519</v>
      </c>
      <c r="Y12" s="2">
        <v>45292</v>
      </c>
      <c r="Z12" s="2">
        <v>45519</v>
      </c>
    </row>
    <row r="13" spans="4:26" x14ac:dyDescent="0.3">
      <c r="E13" s="2">
        <v>45657</v>
      </c>
      <c r="F13" s="2">
        <v>45317</v>
      </c>
      <c r="Y13" s="2">
        <v>45657</v>
      </c>
      <c r="Z13" s="2">
        <v>45317</v>
      </c>
    </row>
    <row r="14" spans="4:26" x14ac:dyDescent="0.3">
      <c r="J14" s="1" t="s">
        <v>22</v>
      </c>
      <c r="L14">
        <f>DAY(L11)</f>
        <v>1</v>
      </c>
      <c r="N14" s="1" t="s">
        <v>30</v>
      </c>
      <c r="R14" s="1" t="s">
        <v>22</v>
      </c>
      <c r="T14">
        <f>DAY(T11)</f>
        <v>11</v>
      </c>
      <c r="V14" s="1" t="s">
        <v>30</v>
      </c>
      <c r="X14" s="1" t="s">
        <v>32</v>
      </c>
    </row>
    <row r="15" spans="4:26" x14ac:dyDescent="0.3">
      <c r="D15" s="1" t="s">
        <v>32</v>
      </c>
      <c r="E15">
        <f>NETWORKDAYS(E12,E13)</f>
        <v>262</v>
      </c>
      <c r="F15">
        <f>NETWORKDAYS(E12,E13,F11:F13)</f>
        <v>259</v>
      </c>
      <c r="J15" s="1" t="s">
        <v>23</v>
      </c>
      <c r="L15">
        <f>MONTH(L11)</f>
        <v>4</v>
      </c>
      <c r="N15" s="2">
        <f>DATE(L16,L15,L14)</f>
        <v>45383</v>
      </c>
      <c r="R15" s="1" t="s">
        <v>23</v>
      </c>
      <c r="T15">
        <f>MONTH(T11)</f>
        <v>8</v>
      </c>
      <c r="V15" s="2">
        <f>DATE(T16,T15,T14)</f>
        <v>45515</v>
      </c>
      <c r="X15" s="1" t="s">
        <v>35</v>
      </c>
      <c r="Y15">
        <f>NETWORKDAYS(Y12,Y13)</f>
        <v>262</v>
      </c>
      <c r="Z15">
        <f>NETWORKDAYS(Y12,Y13,Z11:Z13)</f>
        <v>259</v>
      </c>
    </row>
    <row r="16" spans="4:26" x14ac:dyDescent="0.3">
      <c r="D16" s="1" t="s">
        <v>35</v>
      </c>
      <c r="J16" s="1" t="s">
        <v>24</v>
      </c>
      <c r="L16">
        <f>YEAR(L11)</f>
        <v>2024</v>
      </c>
      <c r="R16" s="1" t="s">
        <v>24</v>
      </c>
      <c r="T16">
        <f>YEAR(T11)</f>
        <v>2024</v>
      </c>
      <c r="X16" s="1" t="s">
        <v>34</v>
      </c>
    </row>
    <row r="17" spans="4:26" x14ac:dyDescent="0.3">
      <c r="D17" s="1" t="s">
        <v>34</v>
      </c>
    </row>
    <row r="18" spans="4:26" x14ac:dyDescent="0.3">
      <c r="F18" s="2">
        <v>45567</v>
      </c>
      <c r="J18" s="1" t="s">
        <v>25</v>
      </c>
      <c r="L18" s="2">
        <f ca="1">TODAY()</f>
        <v>45609</v>
      </c>
      <c r="R18" s="1" t="s">
        <v>25</v>
      </c>
      <c r="T18" s="2">
        <f ca="1">TODAY()</f>
        <v>45609</v>
      </c>
    </row>
    <row r="19" spans="4:26" x14ac:dyDescent="0.3">
      <c r="E19" s="2">
        <v>45292</v>
      </c>
      <c r="F19" s="2">
        <v>45519</v>
      </c>
      <c r="X19" s="1" t="s">
        <v>32</v>
      </c>
      <c r="Z19" s="2">
        <v>45567</v>
      </c>
    </row>
    <row r="20" spans="4:26" x14ac:dyDescent="0.3">
      <c r="E20" s="2">
        <v>45657</v>
      </c>
      <c r="F20" s="2">
        <v>45317</v>
      </c>
      <c r="J20" s="1" t="s">
        <v>26</v>
      </c>
      <c r="L20" s="3">
        <f ca="1">NOW()</f>
        <v>45609.802576041664</v>
      </c>
      <c r="R20" s="1" t="s">
        <v>26</v>
      </c>
      <c r="T20" s="3">
        <f ca="1">NOW()</f>
        <v>45609.802576041664</v>
      </c>
      <c r="X20" s="1" t="s">
        <v>36</v>
      </c>
      <c r="Y20" s="2">
        <v>45292</v>
      </c>
      <c r="Z20" s="2">
        <v>45519</v>
      </c>
    </row>
    <row r="21" spans="4:26" x14ac:dyDescent="0.3">
      <c r="D21" s="1" t="s">
        <v>32</v>
      </c>
      <c r="Y21" s="2">
        <v>45657</v>
      </c>
      <c r="Z21" s="2">
        <v>45317</v>
      </c>
    </row>
    <row r="22" spans="4:26" x14ac:dyDescent="0.3">
      <c r="D22" s="1" t="s">
        <v>36</v>
      </c>
      <c r="E22">
        <f>NETWORKDAYS.INTL(E19,E20,11)</f>
        <v>314</v>
      </c>
      <c r="F22">
        <f>NETWORKDAYS.INTL(E19,E20,11,F18:F20)</f>
        <v>311</v>
      </c>
      <c r="J22" s="1" t="s">
        <v>27</v>
      </c>
      <c r="L22">
        <f ca="1">HOUR(L20)</f>
        <v>19</v>
      </c>
      <c r="N22" s="1" t="s">
        <v>31</v>
      </c>
      <c r="R22" s="1" t="s">
        <v>27</v>
      </c>
      <c r="T22">
        <f ca="1">HOUR(T20)</f>
        <v>19</v>
      </c>
      <c r="V22" s="1" t="s">
        <v>31</v>
      </c>
    </row>
    <row r="23" spans="4:26" x14ac:dyDescent="0.3">
      <c r="D23" s="1"/>
      <c r="J23" s="1"/>
      <c r="N23" s="4">
        <f ca="1">TIME(L22,L24,L26)</f>
        <v>0.80258101851851849</v>
      </c>
      <c r="V23" s="4">
        <f ca="1">TIME(T22,T24,T26)</f>
        <v>0.80258101851851849</v>
      </c>
      <c r="Y23">
        <f>NETWORKDAYS.INTL(Y20,Y21,11)</f>
        <v>314</v>
      </c>
      <c r="Z23">
        <f>NETWORKDAYS.INTL(Y20,Y21,11,Z19:Z21)</f>
        <v>311</v>
      </c>
    </row>
    <row r="24" spans="4:26" x14ac:dyDescent="0.3">
      <c r="J24" s="1" t="s">
        <v>28</v>
      </c>
      <c r="L24">
        <f ca="1">MINUTE(L20)</f>
        <v>15</v>
      </c>
      <c r="R24" s="1" t="s">
        <v>28</v>
      </c>
      <c r="T24">
        <f ca="1">MINUTE(T20)</f>
        <v>15</v>
      </c>
    </row>
    <row r="25" spans="4:26" x14ac:dyDescent="0.3">
      <c r="J25" s="1"/>
    </row>
    <row r="26" spans="4:26" x14ac:dyDescent="0.3">
      <c r="J26" s="1" t="s">
        <v>29</v>
      </c>
      <c r="L26">
        <f ca="1">SECOND(L20)</f>
        <v>43</v>
      </c>
      <c r="R26" s="1" t="s">
        <v>29</v>
      </c>
      <c r="T26">
        <f ca="1">SECOND(T20)</f>
        <v>43</v>
      </c>
    </row>
    <row r="31" spans="4:26" x14ac:dyDescent="0.3">
      <c r="J31" s="1" t="s">
        <v>33</v>
      </c>
      <c r="L31" s="2">
        <v>39722</v>
      </c>
      <c r="M31" s="2">
        <v>44167</v>
      </c>
      <c r="O31">
        <f>DAYS360(L31,M31)</f>
        <v>4381</v>
      </c>
      <c r="P31">
        <f>O31/365</f>
        <v>12.002739726027396</v>
      </c>
      <c r="R31" s="1" t="s">
        <v>33</v>
      </c>
      <c r="V31" s="2">
        <v>39722</v>
      </c>
      <c r="W31" s="2">
        <v>45559</v>
      </c>
    </row>
    <row r="32" spans="4:26" x14ac:dyDescent="0.3">
      <c r="R32" s="1" t="s">
        <v>39</v>
      </c>
    </row>
    <row r="33" spans="10:23" x14ac:dyDescent="0.3">
      <c r="J33" s="1" t="s">
        <v>44</v>
      </c>
      <c r="L33">
        <f>DATEDIF(L31,M31,"y")</f>
        <v>12</v>
      </c>
      <c r="M33">
        <f>DATEDIF(L31,M31,"ym")</f>
        <v>2</v>
      </c>
      <c r="N33">
        <f>DATEDIF(L31,M31,"md")</f>
        <v>1</v>
      </c>
      <c r="V33">
        <f>DAYS360(V31,W31)</f>
        <v>5753</v>
      </c>
      <c r="W33">
        <f>V33/365</f>
        <v>15.761643835616438</v>
      </c>
    </row>
    <row r="34" spans="10:23" x14ac:dyDescent="0.3">
      <c r="L34">
        <f>DATEDIF(L31,M31,"m")</f>
        <v>146</v>
      </c>
    </row>
    <row r="35" spans="10:23" x14ac:dyDescent="0.3">
      <c r="L35">
        <f>DATEDIF(L31,M31,"d")</f>
        <v>4445</v>
      </c>
      <c r="R35" s="1" t="s">
        <v>44</v>
      </c>
      <c r="T35">
        <f>DATEDIF(V31,W31,"y")</f>
        <v>15</v>
      </c>
      <c r="V35">
        <f>DATEDIF(V31,W31,"ym")</f>
        <v>11</v>
      </c>
      <c r="W35">
        <f>DATEDIF(V31,W31,"md")</f>
        <v>23</v>
      </c>
    </row>
    <row r="36" spans="10:23" x14ac:dyDescent="0.3">
      <c r="T36">
        <f>DATEDIF(V31,W31,"m")</f>
        <v>191</v>
      </c>
    </row>
    <row r="37" spans="10:23" x14ac:dyDescent="0.3">
      <c r="T37">
        <f>DATEDIF(V31,W31,"d")</f>
        <v>5837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73CA-6982-406E-AE26-D5E96ED9925A}">
  <dimension ref="A1:N36"/>
  <sheetViews>
    <sheetView tabSelected="1" zoomScale="90" zoomScaleNormal="90" workbookViewId="0">
      <selection activeCell="M15" sqref="M15:M22"/>
    </sheetView>
  </sheetViews>
  <sheetFormatPr defaultRowHeight="14.4" x14ac:dyDescent="0.3"/>
  <cols>
    <col min="1" max="3" width="26" customWidth="1"/>
    <col min="9" max="10" width="13.6640625" customWidth="1"/>
    <col min="11" max="11" width="16.109375" customWidth="1"/>
    <col min="12" max="20" width="13.6640625" customWidth="1"/>
  </cols>
  <sheetData>
    <row r="1" spans="1:14" x14ac:dyDescent="0.3">
      <c r="K1" s="2">
        <v>45560</v>
      </c>
    </row>
    <row r="3" spans="1:14" x14ac:dyDescent="0.3">
      <c r="B3" t="s">
        <v>51</v>
      </c>
      <c r="C3" t="s">
        <v>52</v>
      </c>
    </row>
    <row r="4" spans="1:14" x14ac:dyDescent="0.3">
      <c r="J4" s="1" t="s">
        <v>17</v>
      </c>
      <c r="K4" s="2">
        <f>K1+5</f>
        <v>45565</v>
      </c>
    </row>
    <row r="5" spans="1:14" x14ac:dyDescent="0.3">
      <c r="C5" s="2">
        <v>45317</v>
      </c>
    </row>
    <row r="6" spans="1:14" x14ac:dyDescent="0.3">
      <c r="C6" s="2">
        <v>45519</v>
      </c>
      <c r="J6" s="1" t="s">
        <v>18</v>
      </c>
      <c r="K6" s="2">
        <f>K1-5</f>
        <v>45555</v>
      </c>
    </row>
    <row r="7" spans="1:14" x14ac:dyDescent="0.3">
      <c r="B7" s="2">
        <v>45292</v>
      </c>
      <c r="C7" s="2">
        <v>45552</v>
      </c>
    </row>
    <row r="8" spans="1:14" x14ac:dyDescent="0.3">
      <c r="B8" s="2">
        <v>45657</v>
      </c>
      <c r="C8" s="2">
        <v>45577</v>
      </c>
    </row>
    <row r="9" spans="1:14" x14ac:dyDescent="0.3">
      <c r="J9" s="1" t="s">
        <v>19</v>
      </c>
      <c r="K9" s="2">
        <f>EDATE(K1,3)</f>
        <v>45651</v>
      </c>
    </row>
    <row r="10" spans="1:14" x14ac:dyDescent="0.3">
      <c r="J10" s="1" t="s">
        <v>21</v>
      </c>
    </row>
    <row r="11" spans="1:14" x14ac:dyDescent="0.3">
      <c r="A11" s="1" t="s">
        <v>32</v>
      </c>
      <c r="B11">
        <f>NETWORKDAYS(B7,B8)</f>
        <v>262</v>
      </c>
      <c r="C11">
        <f>NETWORKDAYS(B7,B8,C5:C8)</f>
        <v>259</v>
      </c>
      <c r="K11" s="2">
        <f>EDATE(K1,-5)</f>
        <v>45407</v>
      </c>
    </row>
    <row r="12" spans="1:14" x14ac:dyDescent="0.3">
      <c r="A12" s="1" t="s">
        <v>35</v>
      </c>
    </row>
    <row r="13" spans="1:14" x14ac:dyDescent="0.3">
      <c r="A13" s="1" t="s">
        <v>34</v>
      </c>
    </row>
    <row r="15" spans="1:14" x14ac:dyDescent="0.3">
      <c r="J15" s="1" t="s">
        <v>22</v>
      </c>
      <c r="K15">
        <f>DAY(K1)</f>
        <v>25</v>
      </c>
      <c r="M15" s="1" t="s">
        <v>30</v>
      </c>
      <c r="N15" s="2">
        <f>DATE(K17,K16,K15)</f>
        <v>45560</v>
      </c>
    </row>
    <row r="16" spans="1:14" x14ac:dyDescent="0.3">
      <c r="J16" s="1" t="s">
        <v>23</v>
      </c>
      <c r="K16">
        <f>MONTH(K1)</f>
        <v>9</v>
      </c>
    </row>
    <row r="17" spans="1:14" x14ac:dyDescent="0.3">
      <c r="A17" s="1" t="s">
        <v>32</v>
      </c>
      <c r="J17" s="1" t="s">
        <v>24</v>
      </c>
      <c r="K17">
        <f>YEAR(K1)</f>
        <v>2024</v>
      </c>
    </row>
    <row r="18" spans="1:14" x14ac:dyDescent="0.3">
      <c r="A18" s="1" t="s">
        <v>36</v>
      </c>
      <c r="B18">
        <f>NETWORKDAYS.INTL(B7,B8,11)</f>
        <v>314</v>
      </c>
      <c r="C18">
        <f>NETWORKDAYS.INTL(B7,B8,11,C5:C8)</f>
        <v>310</v>
      </c>
    </row>
    <row r="19" spans="1:14" x14ac:dyDescent="0.3">
      <c r="J19" s="1" t="s">
        <v>25</v>
      </c>
      <c r="K19" s="2">
        <f ca="1">TODAY()</f>
        <v>45609</v>
      </c>
    </row>
    <row r="21" spans="1:14" x14ac:dyDescent="0.3">
      <c r="J21" s="1" t="s">
        <v>26</v>
      </c>
      <c r="K21" s="3">
        <f ca="1">NOW()</f>
        <v>45609.802576041664</v>
      </c>
    </row>
    <row r="23" spans="1:14" x14ac:dyDescent="0.3">
      <c r="J23" s="1" t="s">
        <v>27</v>
      </c>
      <c r="K23">
        <f ca="1">HOUR(K21)</f>
        <v>19</v>
      </c>
      <c r="M23" s="1" t="s">
        <v>31</v>
      </c>
      <c r="N23" s="4">
        <f ca="1">TIME(K23,K25,K27)</f>
        <v>0.80258101851851849</v>
      </c>
    </row>
    <row r="24" spans="1:14" x14ac:dyDescent="0.3">
      <c r="J24" s="1"/>
    </row>
    <row r="25" spans="1:14" x14ac:dyDescent="0.3">
      <c r="J25" s="1" t="s">
        <v>28</v>
      </c>
      <c r="K25">
        <f ca="1">MINUTE(K21)</f>
        <v>15</v>
      </c>
    </row>
    <row r="26" spans="1:14" x14ac:dyDescent="0.3">
      <c r="J26" s="1"/>
    </row>
    <row r="27" spans="1:14" x14ac:dyDescent="0.3">
      <c r="J27" s="1" t="s">
        <v>29</v>
      </c>
      <c r="K27">
        <f ca="1">SECOND(K21)</f>
        <v>43</v>
      </c>
    </row>
    <row r="32" spans="1:14" x14ac:dyDescent="0.3">
      <c r="J32" s="1" t="s">
        <v>33</v>
      </c>
      <c r="K32" s="2">
        <v>37582</v>
      </c>
      <c r="L32" s="2">
        <v>45560</v>
      </c>
      <c r="M32">
        <f>DAYS360(K32,L32)</f>
        <v>7863</v>
      </c>
      <c r="N32">
        <f>M32/365</f>
        <v>21.542465753424658</v>
      </c>
    </row>
    <row r="34" spans="10:13" x14ac:dyDescent="0.3">
      <c r="J34" s="1" t="s">
        <v>44</v>
      </c>
      <c r="K34">
        <f>DATEDIF(K32,L32,"Y")</f>
        <v>21</v>
      </c>
      <c r="L34">
        <f>DATEDIF(K32,L32,"ym")</f>
        <v>10</v>
      </c>
      <c r="M34">
        <f>DATEDIF(K32,L32,"md")</f>
        <v>3</v>
      </c>
    </row>
    <row r="35" spans="10:13" x14ac:dyDescent="0.3">
      <c r="K35">
        <f>DATEDIF(K32,L32,"M")</f>
        <v>262</v>
      </c>
    </row>
    <row r="36" spans="10:13" x14ac:dyDescent="0.3">
      <c r="K36">
        <f>DATEDIF(K32,L32,"D")</f>
        <v>7978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text-function</vt:lpstr>
      <vt:lpstr>text-function-prac</vt:lpstr>
      <vt:lpstr>date-time-function</vt:lpstr>
      <vt:lpstr>date-time-function-prac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QSK1184</dc:creator>
  <cp:lastModifiedBy>vivek chauhan</cp:lastModifiedBy>
  <dcterms:created xsi:type="dcterms:W3CDTF">2024-09-24T05:56:23Z</dcterms:created>
  <dcterms:modified xsi:type="dcterms:W3CDTF">2024-11-13T13:47:08Z</dcterms:modified>
</cp:coreProperties>
</file>